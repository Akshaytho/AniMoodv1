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Ontology - Emotions" sheetId="2" state="visible" r:id="rId4"/>
    <sheet name="Ontology - Life Stages" sheetId="3" state="visible" r:id="rId5"/>
    <sheet name="Ontology - Character Psychology" sheetId="4" state="visible" r:id="rId6"/>
    <sheet name="Titles" sheetId="5" state="visible" r:id="rId7"/>
    <sheet name="Title-Emotion Mappings" sheetId="6" state="visible" r:id="rId8"/>
    <sheet name="Characters" sheetId="7" state="visible" r:id="rId9"/>
    <sheet name="Validation Log" sheetId="8" state="visible" r:id="rId10"/>
    <sheet name="Daily Habit Tracker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<sst xmlns="http://schemas.openxmlformats.org/spreadsheetml/2006/main" count="1339" uniqueCount="659">
  <si>
    <t xml:space="preserve">AniMood — Seed Data Workbook</t>
  </si>
  <si>
    <t xml:space="preserve">Your MVP-0 lives here. This sheet IS the product before any code is written.</t>
  </si>
  <si>
    <t xml:space="preserve">HOW TO USE THIS WORKBOOK</t>
  </si>
  <si>
    <t xml:space="preserve">1.</t>
  </si>
  <si>
    <t xml:space="preserve">Open this file in Excel, OR upload to Google Sheets (File → Import → Replace spreadsheet).</t>
  </si>
  <si>
    <t xml:space="preserve">2.</t>
  </si>
  <si>
    <t xml:space="preserve">Work in this order: Ontology sheets first → Titles → Title-Emotion Mappings → Characters.</t>
  </si>
  <si>
    <t xml:space="preserve">3.</t>
  </si>
  <si>
    <t xml:space="preserve">Every emotion you assign to a title MUST have evidence. No guessing. The blueprint Section 11 is strict.</t>
  </si>
  <si>
    <t xml:space="preserve">4.</t>
  </si>
  <si>
    <t xml:space="preserve">Goal for Week 1: complete all 30 Titles with at least 2-3 emotional mappings each (~80 relationships total).</t>
  </si>
  <si>
    <t xml:space="preserve">5.</t>
  </si>
  <si>
    <t xml:space="preserve">Goal for Week 2: show this to 5 real anime/manhwa friends. Use the Validation Log to record their feedback.</t>
  </si>
  <si>
    <t xml:space="preserve">6.</t>
  </si>
  <si>
    <t xml:space="preserve">Only AFTER the recommendations 'feel true' in this sheet, start building the actual Next.js site.</t>
  </si>
  <si>
    <t xml:space="preserve">SHEET GUIDE</t>
  </si>
  <si>
    <t xml:space="preserve">Ontology - Emotions</t>
  </si>
  <si>
    <t xml:space="preserve">16 emotion categories. The controlled vocabulary. Don't add new ones casually.</t>
  </si>
  <si>
    <t xml:space="preserve">Ontology - Life Stages</t>
  </si>
  <si>
    <t xml:space="preserve">12 life stages. When a story resonates with a real human phase.</t>
  </si>
  <si>
    <t xml:space="preserve">Ontology - Character Psychology</t>
  </si>
  <si>
    <t xml:space="preserve">15 character psychology categories. Used in character mappings.</t>
  </si>
  <si>
    <t xml:space="preserve">Titles</t>
  </si>
  <si>
    <t xml:space="preserve">30 seed anime/manga/manhwa with metadata. Mix of popular anchors + emotionally deep titles.</t>
  </si>
  <si>
    <t xml:space="preserve">Title-Emotion Mappings</t>
  </si>
  <si>
    <t xml:space="preserve">80+ pre-filled emotional relationships. Edit confidence levels after you validate.</t>
  </si>
  <si>
    <t xml:space="preserve">Characters</t>
  </si>
  <si>
    <t xml:space="preserve">Key characters from seed titles with psychology mappings.</t>
  </si>
  <si>
    <t xml:space="preserve">Validation Log</t>
  </si>
  <si>
    <t xml:space="preserve">Track feedback from real fans testing your recommendations.</t>
  </si>
  <si>
    <t xml:space="preserve">Daily Habit Tracker</t>
  </si>
  <si>
    <t xml:space="preserve">Mark a daily X for showing up. This is what separates success from quitting at month 6.</t>
  </si>
  <si>
    <t xml:space="preserve">CRITICAL RULES (from the blueprint)</t>
  </si>
  <si>
    <t xml:space="preserve">•</t>
  </si>
  <si>
    <t xml:space="preserve">Evidence required. Every emotion-to-title link must have a reason in the Notes column.</t>
  </si>
  <si>
    <t xml:space="preserve">Confidence honest. Low/Medium/High. 'High' requires multiple evidence types.</t>
  </si>
  <si>
    <t xml:space="preserve">No piracy. Ever. Section 27 of the blueprint is non-negotiable.</t>
  </si>
  <si>
    <t xml:space="preserve">Don't add new emotions/life-stages without good reason. The ontology is small on purpose.</t>
  </si>
  <si>
    <t xml:space="preserve">Show this to real fans before building code. If they say 'these matches feel right,' you have product-market fit signal.</t>
  </si>
  <si>
    <t xml:space="preserve">AFTER COMPLETING THIS WORKBOOK</t>
  </si>
  <si>
    <t xml:space="preserve">→</t>
  </si>
  <si>
    <t xml:space="preserve">Convert this into your Postgres schema (Titles, Emotions, Mappings, Characters tables).</t>
  </si>
  <si>
    <t xml:space="preserve">Build Next.js MVP with 10 emotion pages + 10 title pages + 1 taste-profile quiz.</t>
  </si>
  <si>
    <t xml:space="preserve">Launch soft beta with 10-20 users from your Reddit/Discord network.</t>
  </si>
  <si>
    <t xml:space="preserve">Iterate. Add 10 more titles. Repeat.</t>
  </si>
  <si>
    <t xml:space="preserve">Emotion ID</t>
  </si>
  <si>
    <t xml:space="preserve">Emotion Name</t>
  </si>
  <si>
    <t xml:space="preserve">Category</t>
  </si>
  <si>
    <t xml:space="preserve">Plain-English Definition</t>
  </si>
  <si>
    <t xml:space="preserve">Intensity Range</t>
  </si>
  <si>
    <t xml:space="preserve">Example Trigger Query</t>
  </si>
  <si>
    <t xml:space="preserve">EMO-01</t>
  </si>
  <si>
    <t xml:space="preserve">Loneliness</t>
  </si>
  <si>
    <t xml:space="preserve">Core</t>
  </si>
  <si>
    <t xml:space="preserve">Feeling fundamentally alone or unseen by others, even in a crowd.</t>
  </si>
  <si>
    <t xml:space="preserve">Soft–Heavy</t>
  </si>
  <si>
    <t xml:space="preserve">anime for lonely people</t>
  </si>
  <si>
    <t xml:space="preserve">EMO-02</t>
  </si>
  <si>
    <t xml:space="preserve">Healing</t>
  </si>
  <si>
    <t xml:space="preserve">Gentle emotional recovery; processing pain without re-living it.</t>
  </si>
  <si>
    <t xml:space="preserve">Soft–Medium</t>
  </si>
  <si>
    <t xml:space="preserve">manga that heals loneliness</t>
  </si>
  <si>
    <t xml:space="preserve">EMO-03</t>
  </si>
  <si>
    <t xml:space="preserve">Revenge</t>
  </si>
  <si>
    <t xml:space="preserve">Driven by anger and a need to make someone pay for wrongdoing.</t>
  </si>
  <si>
    <t xml:space="preserve">Medium–Heavy</t>
  </si>
  <si>
    <t xml:space="preserve">manhwa for revenge and ambition</t>
  </si>
  <si>
    <t xml:space="preserve">EMO-04</t>
  </si>
  <si>
    <t xml:space="preserve">Redemption</t>
  </si>
  <si>
    <t xml:space="preserve">Trying to make right what one has done wrong; atonement.</t>
  </si>
  <si>
    <t xml:space="preserve">anime about a person rebuilding themselves</t>
  </si>
  <si>
    <t xml:space="preserve">EMO-05</t>
  </si>
  <si>
    <t xml:space="preserve">Ambition</t>
  </si>
  <si>
    <t xml:space="preserve">Hunger to grow stronger, achieve, climb, or transform one's status.</t>
  </si>
  <si>
    <t xml:space="preserve">manhwa about getting stronger</t>
  </si>
  <si>
    <t xml:space="preserve">EMO-06</t>
  </si>
  <si>
    <t xml:space="preserve">Grief</t>
  </si>
  <si>
    <t xml:space="preserve">Mourning a loss — a person, a version of self, a possibility.</t>
  </si>
  <si>
    <t xml:space="preserve">anime for grief</t>
  </si>
  <si>
    <t xml:space="preserve">EMO-07</t>
  </si>
  <si>
    <t xml:space="preserve">Hope</t>
  </si>
  <si>
    <t xml:space="preserve">Quiet belief that something better is still possible.</t>
  </si>
  <si>
    <t xml:space="preserve">anime that gives hope</t>
  </si>
  <si>
    <t xml:space="preserve">EMO-08</t>
  </si>
  <si>
    <t xml:space="preserve">Existential dread</t>
  </si>
  <si>
    <t xml:space="preserve">Fear about meaning, mortality, the indifference of the world.</t>
  </si>
  <si>
    <t xml:space="preserve">Heavy</t>
  </si>
  <si>
    <t xml:space="preserve">philosophical anime about meaning of life</t>
  </si>
  <si>
    <t xml:space="preserve">EMO-09</t>
  </si>
  <si>
    <t xml:space="preserve">Peaceful comfort</t>
  </si>
  <si>
    <t xml:space="preserve">Atmosphere</t>
  </si>
  <si>
    <t xml:space="preserve">Soft, cozy, slow — the feeling of a warm afternoon.</t>
  </si>
  <si>
    <t xml:space="preserve">Soft</t>
  </si>
  <si>
    <t xml:space="preserve">cozy peaceful anime</t>
  </si>
  <si>
    <t xml:space="preserve">EMO-10</t>
  </si>
  <si>
    <t xml:space="preserve">Emotional devastation</t>
  </si>
  <si>
    <t xml:space="preserve">Stories that wreck you on purpose; cathartic destruction.</t>
  </si>
  <si>
    <t xml:space="preserve">anime that will emotionally destroy me</t>
  </si>
  <si>
    <t xml:space="preserve">EMO-11</t>
  </si>
  <si>
    <t xml:space="preserve">Identity crisis</t>
  </si>
  <si>
    <t xml:space="preserve">Psychology</t>
  </si>
  <si>
    <t xml:space="preserve">'Who am I, really?' — the self under pressure.</t>
  </si>
  <si>
    <t xml:space="preserve">anime about identity crisis</t>
  </si>
  <si>
    <t xml:space="preserve">EMO-12</t>
  </si>
  <si>
    <t xml:space="preserve">Moral ambiguity</t>
  </si>
  <si>
    <t xml:space="preserve">Right and wrong refuse to stay still; characters are not clean.</t>
  </si>
  <si>
    <t xml:space="preserve">morally grey anime</t>
  </si>
  <si>
    <t xml:space="preserve">EMO-13</t>
  </si>
  <si>
    <t xml:space="preserve">Burnout</t>
  </si>
  <si>
    <t xml:space="preserve">Life</t>
  </si>
  <si>
    <t xml:space="preserve">Exhausted by what was supposed to matter.</t>
  </si>
  <si>
    <t xml:space="preserve">Medium</t>
  </si>
  <si>
    <t xml:space="preserve">anime for burnout</t>
  </si>
  <si>
    <t xml:space="preserve">EMO-14</t>
  </si>
  <si>
    <t xml:space="preserve">Rebuilding</t>
  </si>
  <si>
    <t xml:space="preserve">Slowly putting yourself back together after something broke.</t>
  </si>
  <si>
    <t xml:space="preserve">anime about rebuilding life</t>
  </si>
  <si>
    <t xml:space="preserve">EMO-15</t>
  </si>
  <si>
    <t xml:space="preserve">Nostalgia</t>
  </si>
  <si>
    <t xml:space="preserve">Longing for a version of life or self that's now out of reach.</t>
  </si>
  <si>
    <t xml:space="preserve">nostalgic anime</t>
  </si>
  <si>
    <t xml:space="preserve">EMO-16</t>
  </si>
  <si>
    <t xml:space="preserve">Freedom</t>
  </si>
  <si>
    <t xml:space="preserve">Breaking out of the structures, places, or roles that contain you.</t>
  </si>
  <si>
    <t xml:space="preserve">anime about freedom</t>
  </si>
  <si>
    <t xml:space="preserve">Life Stage ID</t>
  </si>
  <si>
    <t xml:space="preserve">Life Stage Name</t>
  </si>
  <si>
    <t xml:space="preserve">Description</t>
  </si>
  <si>
    <t xml:space="preserve">Sensitive Flag</t>
  </si>
  <si>
    <t xml:space="preserve">Example User Query</t>
  </si>
  <si>
    <t xml:space="preserve">LS-01</t>
  </si>
  <si>
    <t xml:space="preserve">Teenage confusion</t>
  </si>
  <si>
    <t xml:space="preserve">Figuring out who you are while everything is changing.</t>
  </si>
  <si>
    <t xml:space="preserve">No</t>
  </si>
  <si>
    <t xml:space="preserve">anime for confused teenagers</t>
  </si>
  <si>
    <t xml:space="preserve">LS-02</t>
  </si>
  <si>
    <t xml:space="preserve">Early adulthood pressure</t>
  </si>
  <si>
    <t xml:space="preserve">First real responsibilities, fear of falling behind.</t>
  </si>
  <si>
    <t xml:space="preserve">anime for people in their early 20s</t>
  </si>
  <si>
    <t xml:space="preserve">LS-03</t>
  </si>
  <si>
    <t xml:space="preserve">Loneliness in twenties</t>
  </si>
  <si>
    <t xml:space="preserve">Surrounded by people, feeling unseen.</t>
  </si>
  <si>
    <t xml:space="preserve">Mild</t>
  </si>
  <si>
    <t xml:space="preserve">anime for lonely twenty-somethings</t>
  </si>
  <si>
    <t xml:space="preserve">LS-04</t>
  </si>
  <si>
    <t xml:space="preserve">Burnout from work or study</t>
  </si>
  <si>
    <t xml:space="preserve">Exhausted by the thing that was supposed to matter.</t>
  </si>
  <si>
    <t xml:space="preserve">anime for burnout recovery</t>
  </si>
  <si>
    <t xml:space="preserve">LS-05</t>
  </si>
  <si>
    <t xml:space="preserve">Rebuilding after failure</t>
  </si>
  <si>
    <t xml:space="preserve">Picking yourself up when the plan broke.</t>
  </si>
  <si>
    <t xml:space="preserve">anime for people rebuilding</t>
  </si>
  <si>
    <t xml:space="preserve">LS-06</t>
  </si>
  <si>
    <t xml:space="preserve">Post-breakup emptiness</t>
  </si>
  <si>
    <t xml:space="preserve">Adjusting to space where someone used to be.</t>
  </si>
  <si>
    <t xml:space="preserve">anime to watch after a breakup</t>
  </si>
  <si>
    <t xml:space="preserve">LS-07</t>
  </si>
  <si>
    <t xml:space="preserve">Searching for purpose</t>
  </si>
  <si>
    <t xml:space="preserve">Capable, restless, unsure of direction.</t>
  </si>
  <si>
    <t xml:space="preserve">anime for people searching for meaning</t>
  </si>
  <si>
    <t xml:space="preserve">LS-08</t>
  </si>
  <si>
    <t xml:space="preserve">Feeling behind in life</t>
  </si>
  <si>
    <t xml:space="preserve">Watching peers move ahead while you stand still.</t>
  </si>
  <si>
    <t xml:space="preserve">anime for people who feel behind</t>
  </si>
  <si>
    <t xml:space="preserve">LS-09</t>
  </si>
  <si>
    <t xml:space="preserve">Wanting discipline</t>
  </si>
  <si>
    <t xml:space="preserve">Hungry to commit, stop drifting, become someone.</t>
  </si>
  <si>
    <t xml:space="preserve">anime to motivate me</t>
  </si>
  <si>
    <t xml:space="preserve">LS-10</t>
  </si>
  <si>
    <t xml:space="preserve">Emotional numbness</t>
  </si>
  <si>
    <t xml:space="preserve">Not sad, not happy — just blank.</t>
  </si>
  <si>
    <t xml:space="preserve">anime when you feel nothing</t>
  </si>
  <si>
    <t xml:space="preserve">LS-11</t>
  </si>
  <si>
    <t xml:space="preserve">Nostalgia for childhood</t>
  </si>
  <si>
    <t xml:space="preserve">Missing a self that no longer exists.</t>
  </si>
  <si>
    <t xml:space="preserve">nostalgic anime childhood</t>
  </si>
  <si>
    <t xml:space="preserve">LS-12</t>
  </si>
  <si>
    <t xml:space="preserve">Desire for escape</t>
  </si>
  <si>
    <t xml:space="preserve">Wanting to be anywhere but here, briefly.</t>
  </si>
  <si>
    <t xml:space="preserve">escapist anime</t>
  </si>
  <si>
    <t xml:space="preserve">Psych ID</t>
  </si>
  <si>
    <t xml:space="preserve">Psychology Name</t>
  </si>
  <si>
    <t xml:space="preserve">Example Characters</t>
  </si>
  <si>
    <t xml:space="preserve">PSY-01</t>
  </si>
  <si>
    <t xml:space="preserve">Guilt-driven</t>
  </si>
  <si>
    <t xml:space="preserve">Carrying the weight of something done or unable to undo.</t>
  </si>
  <si>
    <t xml:space="preserve">Thorfinn (Vinland Saga), Shoya Ishida (A Silent Voice)</t>
  </si>
  <si>
    <t xml:space="preserve">PSY-02</t>
  </si>
  <si>
    <t xml:space="preserve">Revenge-driven</t>
  </si>
  <si>
    <t xml:space="preserve">Defined by a wound that demands payment.</t>
  </si>
  <si>
    <t xml:space="preserve">Early Thorfinn, Sasuke (Naruto), Eren Yeager</t>
  </si>
  <si>
    <t xml:space="preserve">PSY-03</t>
  </si>
  <si>
    <t xml:space="preserve">Identity-fractured</t>
  </si>
  <si>
    <t xml:space="preserve">The self has cracked under pressure.</t>
  </si>
  <si>
    <t xml:space="preserve">Shinji Ikari (Evangelion), Punpun</t>
  </si>
  <si>
    <t xml:space="preserve">PSY-04</t>
  </si>
  <si>
    <t xml:space="preserve">Emotionally avoidant</t>
  </si>
  <si>
    <t xml:space="preserve">Feeling exists, but cannot be approached directly.</t>
  </si>
  <si>
    <t xml:space="preserve">Rei Kiriyama (March Comes in Like a Lion)</t>
  </si>
  <si>
    <t xml:space="preserve">PSY-05</t>
  </si>
  <si>
    <t xml:space="preserve">Lonely achiever</t>
  </si>
  <si>
    <t xml:space="preserve">Climbing alone because connection failed.</t>
  </si>
  <si>
    <t xml:space="preserve">Sung Jinwoo (Solo Leveling), Light Yagami</t>
  </si>
  <si>
    <t xml:space="preserve">PSY-06</t>
  </si>
  <si>
    <t xml:space="preserve">Burden carrier</t>
  </si>
  <si>
    <t xml:space="preserve">Quietly holding what others cannot.</t>
  </si>
  <si>
    <t xml:space="preserve">Levi Ackerman, Roy Mustang</t>
  </si>
  <si>
    <t xml:space="preserve">PSY-07</t>
  </si>
  <si>
    <t xml:space="preserve">Idealist collapsing</t>
  </si>
  <si>
    <t xml:space="preserve">Believed in something pure; reality bent it.</t>
  </si>
  <si>
    <t xml:space="preserve">Griffith (Berserk), Lelouch</t>
  </si>
  <si>
    <t xml:space="preserve">PSY-08</t>
  </si>
  <si>
    <t xml:space="preserve">Morally conflicted</t>
  </si>
  <si>
    <t xml:space="preserve">Knows their actions cost something they cannot fix.</t>
  </si>
  <si>
    <t xml:space="preserve">Eren Yeager, Light Yagami, Johan Liebert</t>
  </si>
  <si>
    <t xml:space="preserve">PSY-09</t>
  </si>
  <si>
    <t xml:space="preserve">Self-hating</t>
  </si>
  <si>
    <t xml:space="preserve">The cruelest voice in the room is internal.</t>
  </si>
  <si>
    <t xml:space="preserve">Punpun, Shinji Ikari, Yamada (NHK)</t>
  </si>
  <si>
    <t xml:space="preserve">PSY-10</t>
  </si>
  <si>
    <t xml:space="preserve">Protector complex</t>
  </si>
  <si>
    <t xml:space="preserve">Their worth is defined by who they shield.</t>
  </si>
  <si>
    <t xml:space="preserve">Tanjiro Kamado, Gon Freecss</t>
  </si>
  <si>
    <t xml:space="preserve">PSY-11</t>
  </si>
  <si>
    <t xml:space="preserve">Freedom obsessed</t>
  </si>
  <si>
    <t xml:space="preserve">Walls are unbearable — physical or otherwise.</t>
  </si>
  <si>
    <t xml:space="preserve">Eren Yeager, Luffy, Guts</t>
  </si>
  <si>
    <t xml:space="preserve">PSY-12</t>
  </si>
  <si>
    <t xml:space="preserve">Quiet healer</t>
  </si>
  <si>
    <t xml:space="preserve">Helps others recover without naming it.</t>
  </si>
  <si>
    <t xml:space="preserve">Hina (March Comes in Like a Lion), Mushishi's Ginko</t>
  </si>
  <si>
    <t xml:space="preserve">PSY-13</t>
  </si>
  <si>
    <t xml:space="preserve">Destructive ambition</t>
  </si>
  <si>
    <t xml:space="preserve">Climbing past the point where climbing made sense.</t>
  </si>
  <si>
    <t xml:space="preserve">Light Yagami, Griffith, Makima</t>
  </si>
  <si>
    <t xml:space="preserve">PSY-14</t>
  </si>
  <si>
    <t xml:space="preserve">Hidden trauma</t>
  </si>
  <si>
    <t xml:space="preserve">Functional on the surface, fractured underneath.</t>
  </si>
  <si>
    <t xml:space="preserve">Rei Kiriyama, Senku (carefully), Violet Evergarden</t>
  </si>
  <si>
    <t xml:space="preserve">PSY-15</t>
  </si>
  <si>
    <t xml:space="preserve">Redemption seeker</t>
  </si>
  <si>
    <t xml:space="preserve">Trying to become someone who can live with themselves.</t>
  </si>
  <si>
    <t xml:space="preserve">Late Thorfinn, Vash, Vincent (Trigun)</t>
  </si>
  <si>
    <t xml:space="preserve">Title ID</t>
  </si>
  <si>
    <t xml:space="preserve">Title Name</t>
  </si>
  <si>
    <t xml:space="preserve">Type</t>
  </si>
  <si>
    <t xml:space="preserve">Year</t>
  </si>
  <si>
    <t xml:space="preserve">Status</t>
  </si>
  <si>
    <t xml:space="preserve">Demographics</t>
  </si>
  <si>
    <t xml:space="preserve">Short Emotional Positioning</t>
  </si>
  <si>
    <t xml:space="preserve">Spoiler-Safe Summary</t>
  </si>
  <si>
    <t xml:space="preserve">Official Source (if known)</t>
  </si>
  <si>
    <t xml:space="preserve">T-001</t>
  </si>
  <si>
    <t xml:space="preserve">Vinland Saga</t>
  </si>
  <si>
    <t xml:space="preserve">Anime + Manga</t>
  </si>
  <si>
    <t xml:space="preserve">Ongoing manga / S2 anime aired</t>
  </si>
  <si>
    <t xml:space="preserve">Seinen</t>
  </si>
  <si>
    <t xml:space="preserve">Revenge collapses into the search for a life worth living.</t>
  </si>
  <si>
    <t xml:space="preserve">A young Viking trained for vengeance discovers, slowly, that the man he wanted to become is not the man he can live with.</t>
  </si>
  <si>
    <t xml:space="preserve">Crunchyroll, Netflix (region varies)</t>
  </si>
  <si>
    <t xml:space="preserve">T-002</t>
  </si>
  <si>
    <t xml:space="preserve">March Comes in Like a Lion</t>
  </si>
  <si>
    <t xml:space="preserve">Completed anime / Ongoing manga</t>
  </si>
  <si>
    <t xml:space="preserve">Quiet rebuilding for someone who never learned how to be okay.</t>
  </si>
  <si>
    <t xml:space="preserve">A teenage professional shogi player, isolated and emotionally hollow, slowly rejoins the human world through three sisters who do not let him disappear.</t>
  </si>
  <si>
    <t xml:space="preserve">Crunchyroll, HiDive (region varies)</t>
  </si>
  <si>
    <t xml:space="preserve">T-003</t>
  </si>
  <si>
    <t xml:space="preserve">A Silent Voice</t>
  </si>
  <si>
    <t xml:space="preserve">Completed</t>
  </si>
  <si>
    <t xml:space="preserve">Shonen</t>
  </si>
  <si>
    <t xml:space="preserve">Guilt looking for a way back to the person it hurt.</t>
  </si>
  <si>
    <t xml:space="preserve">A boy who once bullied a deaf classmate tries, years later, to face her and himself.</t>
  </si>
  <si>
    <t xml:space="preserve">Netflix, Prime Video (region varies)</t>
  </si>
  <si>
    <t xml:space="preserve">T-004</t>
  </si>
  <si>
    <t xml:space="preserve">Welcome to the NHK</t>
  </si>
  <si>
    <t xml:space="preserve">Isolation, paranoia, and the strange grace of being seen anyway.</t>
  </si>
  <si>
    <t xml:space="preserve">A reclusive young man convinced of a vast conspiracy meets a girl who decides he is her project to save.</t>
  </si>
  <si>
    <t xml:space="preserve">Funimation/Crunchyroll (region varies)</t>
  </si>
  <si>
    <t xml:space="preserve">T-005</t>
  </si>
  <si>
    <t xml:space="preserve">Attack on Titan</t>
  </si>
  <si>
    <t xml:space="preserve">Freedom becomes indistinguishable from destruction.</t>
  </si>
  <si>
    <t xml:space="preserve">Humanity hides behind walls from giants — and the cost of leaving is more than any character imagined.</t>
  </si>
  <si>
    <t xml:space="preserve">Crunchyroll, Hulu, Netflix (region varies)</t>
  </si>
  <si>
    <t xml:space="preserve">T-006</t>
  </si>
  <si>
    <t xml:space="preserve">Solo Leveling</t>
  </si>
  <si>
    <t xml:space="preserve">Manhwa + Anime</t>
  </si>
  <si>
    <t xml:space="preserve">Completed manhwa / Anime ongoing</t>
  </si>
  <si>
    <t xml:space="preserve">Shonen-style</t>
  </si>
  <si>
    <t xml:space="preserve">The lonely climb feels rewarding right up until you notice nobody climbed with you.</t>
  </si>
  <si>
    <t xml:space="preserve">The world's weakest hunter levels up alone in a system only he can see.</t>
  </si>
  <si>
    <t xml:space="preserve">Crunchyroll, Tappytoon, Webtoon (region varies)</t>
  </si>
  <si>
    <t xml:space="preserve">T-007</t>
  </si>
  <si>
    <t xml:space="preserve">Tower of God</t>
  </si>
  <si>
    <t xml:space="preserve">Manhwa</t>
  </si>
  <si>
    <t xml:space="preserve">Ongoing</t>
  </si>
  <si>
    <t xml:space="preserve">Ambition tested against a tower that asks what you will trade.</t>
  </si>
  <si>
    <t xml:space="preserve">A boy climbs a vast tower to find the only person who ever mattered to him.</t>
  </si>
  <si>
    <t xml:space="preserve">Webtoon (official), Crunchyroll (anime)</t>
  </si>
  <si>
    <t xml:space="preserve">T-008</t>
  </si>
  <si>
    <t xml:space="preserve">Berserk</t>
  </si>
  <si>
    <t xml:space="preserve">Manga (+ anime adaptations)</t>
  </si>
  <si>
    <t xml:space="preserve">Ongoing (continued posthumously)</t>
  </si>
  <si>
    <t xml:space="preserve">Rage as a place to live when everything else has been taken.</t>
  </si>
  <si>
    <t xml:space="preserve">A mercenary betrayed by the one person he trusted carves through a world that does not want him to survive.</t>
  </si>
  <si>
    <t xml:space="preserve">Dark Horse (print), various legal anime sources (region varies)</t>
  </si>
  <si>
    <t xml:space="preserve">T-009</t>
  </si>
  <si>
    <t xml:space="preserve">Your Lie in April</t>
  </si>
  <si>
    <t xml:space="preserve">Coming back to the thing you loved, knowing it will hurt.</t>
  </si>
  <si>
    <t xml:space="preserve">A piano prodigy who can no longer hear his own playing meets a violinist who refuses to let him stay numb.</t>
  </si>
  <si>
    <t xml:space="preserve">T-010</t>
  </si>
  <si>
    <t xml:space="preserve">Oyasumi Punpun</t>
  </si>
  <si>
    <t xml:space="preserve">Manga</t>
  </si>
  <si>
    <t xml:space="preserve">Self-hatred drawn with terrifying gentleness.</t>
  </si>
  <si>
    <t xml:space="preserve">A boy grows up — and the way he is drawn changes as his sense of self does.</t>
  </si>
  <si>
    <t xml:space="preserve">Viz Media (print) — no streaming</t>
  </si>
  <si>
    <t xml:space="preserve">T-011</t>
  </si>
  <si>
    <t xml:space="preserve">Frieren: Beyond Journey's End</t>
  </si>
  <si>
    <t xml:space="preserve">Grief that arrives slowly, after the adventure is over.</t>
  </si>
  <si>
    <t xml:space="preserve">An elf mage who outlived her human companions sets out, decades later, to understand what they meant to her.</t>
  </si>
  <si>
    <t xml:space="preserve">Crunchyroll (region varies)</t>
  </si>
  <si>
    <t xml:space="preserve">T-012</t>
  </si>
  <si>
    <t xml:space="preserve">Chainsaw Man</t>
  </si>
  <si>
    <t xml:space="preserve">Shonen / Seinen</t>
  </si>
  <si>
    <t xml:space="preserve">Wanting a normal life from a world that will not allow it.</t>
  </si>
  <si>
    <t xml:space="preserve">A boy who became a demon-hunting weapon mostly wants to eat bread and be touched.</t>
  </si>
  <si>
    <t xml:space="preserve">T-013</t>
  </si>
  <si>
    <t xml:space="preserve">Demon Slayer</t>
  </si>
  <si>
    <t xml:space="preserve">Grief as fuel for showing up anyway.</t>
  </si>
  <si>
    <t xml:space="preserve">After his family is killed and his sister turned into a demon, a kind boy trains to become a demon slayer.</t>
  </si>
  <si>
    <t xml:space="preserve">T-014</t>
  </si>
  <si>
    <t xml:space="preserve">Steins;Gate</t>
  </si>
  <si>
    <t xml:space="preserve">Anime + VN</t>
  </si>
  <si>
    <t xml:space="preserve">The cost of trying to fix what should not be fixable.</t>
  </si>
  <si>
    <t xml:space="preserve">A self-styled mad scientist discovers his microwave sends messages to the past — and learns what 'cost' means.</t>
  </si>
  <si>
    <t xml:space="preserve">Crunchyroll, Funimation (region varies)</t>
  </si>
  <si>
    <t xml:space="preserve">T-015</t>
  </si>
  <si>
    <t xml:space="preserve">Made in Abyss</t>
  </si>
  <si>
    <t xml:space="preserve">Seinen (despite art style)</t>
  </si>
  <si>
    <t xml:space="preserve">Wonder and horror sharing the same air.</t>
  </si>
  <si>
    <t xml:space="preserve">Children descend into a vast hole in the world that no one returns from the same.</t>
  </si>
  <si>
    <t xml:space="preserve">HiDive, Prime Video (region varies)</t>
  </si>
  <si>
    <t xml:space="preserve">T-016</t>
  </si>
  <si>
    <t xml:space="preserve">Mushishi</t>
  </si>
  <si>
    <t xml:space="preserve">A traveler observing strange life-forms and the quiet wounds people carry.</t>
  </si>
  <si>
    <t xml:space="preserve">A man walks across an old Japan, helping people whose lives have been touched by mushi.</t>
  </si>
  <si>
    <t xml:space="preserve">T-017</t>
  </si>
  <si>
    <t xml:space="preserve">Hunter x Hunter</t>
  </si>
  <si>
    <t xml:space="preserve">Manga on hiatus / Anime completed (2011)</t>
  </si>
  <si>
    <t xml:space="preserve">What 'becoming someone' actually costs, traced honestly.</t>
  </si>
  <si>
    <t xml:space="preserve">A boy sets out to find his absent father and discovers a world more complicated than admiration.</t>
  </si>
  <si>
    <t xml:space="preserve">Netflix, Crunchyroll (region varies)</t>
  </si>
  <si>
    <t xml:space="preserve">T-018</t>
  </si>
  <si>
    <t xml:space="preserve">Re:Zero</t>
  </si>
  <si>
    <t xml:space="preserve">Anime + LN</t>
  </si>
  <si>
    <t xml:space="preserve">Trying again past the point most people would stop.</t>
  </si>
  <si>
    <t xml:space="preserve">A young man pulled into another world discovers death sends him back — to try, fail, and try again.</t>
  </si>
  <si>
    <t xml:space="preserve">T-019</t>
  </si>
  <si>
    <t xml:space="preserve">Mob Psycho 100</t>
  </si>
  <si>
    <t xml:space="preserve">Power means almost nothing without the work of being kind.</t>
  </si>
  <si>
    <t xml:space="preserve">A boy with overwhelming psychic ability tries, mostly, to live a normal middle-school life.</t>
  </si>
  <si>
    <t xml:space="preserve">T-020</t>
  </si>
  <si>
    <t xml:space="preserve">Monster</t>
  </si>
  <si>
    <t xml:space="preserve">Moral certainty under sustained pressure.</t>
  </si>
  <si>
    <t xml:space="preserve">A surgeon who once saved a child's life learns who that child became.</t>
  </si>
  <si>
    <t xml:space="preserve">Netflix (region varies)</t>
  </si>
  <si>
    <t xml:space="preserve">T-021</t>
  </si>
  <si>
    <t xml:space="preserve">Vagabond</t>
  </si>
  <si>
    <t xml:space="preserve">On hiatus</t>
  </si>
  <si>
    <t xml:space="preserve">Strength and the slow realization that strength alone is not enough.</t>
  </si>
  <si>
    <t xml:space="preserve">A historical retelling of Musashi Miyamoto's path from violent young man to something else.</t>
  </si>
  <si>
    <t xml:space="preserve">T-022</t>
  </si>
  <si>
    <t xml:space="preserve">Look Back</t>
  </si>
  <si>
    <t xml:space="preserve">Manga / Film</t>
  </si>
  <si>
    <t xml:space="preserve">Creative ambition and the ghosts the work leaves behind.</t>
  </si>
  <si>
    <t xml:space="preserve">Two girls bond over manga — and time does what time does.</t>
  </si>
  <si>
    <t xml:space="preserve">Viz (manga), various film releases (region varies)</t>
  </si>
  <si>
    <t xml:space="preserve">T-023</t>
  </si>
  <si>
    <t xml:space="preserve">Omniscient Reader's Viewpoint</t>
  </si>
  <si>
    <t xml:space="preserve">What if the only person who knew how the story ends had to live it.</t>
  </si>
  <si>
    <t xml:space="preserve">A reader of an obscure web novel watches its apocalypse become real around him.</t>
  </si>
  <si>
    <t xml:space="preserve">Webtoon (official), Naver (Korean)</t>
  </si>
  <si>
    <t xml:space="preserve">T-024</t>
  </si>
  <si>
    <t xml:space="preserve">The Beginning After the End</t>
  </si>
  <si>
    <t xml:space="preserve">Manhwa + Novel</t>
  </si>
  <si>
    <t xml:space="preserve">A second life as the do-over a person did not know they needed.</t>
  </si>
  <si>
    <t xml:space="preserve">A king dies and is reborn in a world of magic, given a chance to live differently.</t>
  </si>
  <si>
    <t xml:space="preserve">Tapas, Webtoon (region varies)</t>
  </si>
  <si>
    <t xml:space="preserve">T-025</t>
  </si>
  <si>
    <t xml:space="preserve">One Piece</t>
  </si>
  <si>
    <t xml:space="preserve">Freedom as a verb — chosen again every morning.</t>
  </si>
  <si>
    <t xml:space="preserve">A boy with a straw hat sets out to find the legendary treasure and to live exactly as he wants.</t>
  </si>
  <si>
    <t xml:space="preserve">T-026</t>
  </si>
  <si>
    <t xml:space="preserve">Naruto</t>
  </si>
  <si>
    <t xml:space="preserve">Completed (Shippuden + sequel)</t>
  </si>
  <si>
    <t xml:space="preserve">Loneliness, recognition, and the slow making of family.</t>
  </si>
  <si>
    <t xml:space="preserve">An orphaned ninja with a demon sealed in him refuses to disappear.</t>
  </si>
  <si>
    <t xml:space="preserve">T-027</t>
  </si>
  <si>
    <t xml:space="preserve">Death Note</t>
  </si>
  <si>
    <t xml:space="preserve">Moral certainty corroding in real time.</t>
  </si>
  <si>
    <t xml:space="preserve">A brilliant student finds a notebook that kills, and decides he should be the one who decides who dies.</t>
  </si>
  <si>
    <t xml:space="preserve">T-028</t>
  </si>
  <si>
    <t xml:space="preserve">Tokyo Ghoul</t>
  </si>
  <si>
    <t xml:space="preserve">Identity caught between two natures, with no third option.</t>
  </si>
  <si>
    <t xml:space="preserve">A college student becomes half-ghoul after a fatal accident and learns to live between worlds.</t>
  </si>
  <si>
    <t xml:space="preserve">Funimation (region varies)</t>
  </si>
  <si>
    <t xml:space="preserve">T-029</t>
  </si>
  <si>
    <t xml:space="preserve">Neon Genesis Evangelion</t>
  </si>
  <si>
    <t xml:space="preserve">Completed (multiple endings)</t>
  </si>
  <si>
    <t xml:space="preserve">Mental health, depicted with no concession to comfort.</t>
  </si>
  <si>
    <t xml:space="preserve">A fourteen-year-old is asked to pilot a giant biomechanical weapon by a father who barely speaks to him.</t>
  </si>
  <si>
    <t xml:space="preserve">T-030</t>
  </si>
  <si>
    <t xml:space="preserve">Violet Evergarden</t>
  </si>
  <si>
    <t xml:space="preserve">Seinen-ish</t>
  </si>
  <si>
    <t xml:space="preserve">Learning what feelings are, after a life built without them.</t>
  </si>
  <si>
    <t xml:space="preserve">A former child soldier becomes a letter-writer for hire, slowly learning what the words she transcribes actually mean.</t>
  </si>
  <si>
    <t xml:space="preserve">Mapping ID</t>
  </si>
  <si>
    <t xml:space="preserve">Intensity (1-5)</t>
  </si>
  <si>
    <t xml:space="preserve">Evidence Notes</t>
  </si>
  <si>
    <t xml:space="preserve">Confidence</t>
  </si>
  <si>
    <t xml:space="preserve">Reviewed By</t>
  </si>
  <si>
    <t xml:space="preserve">Date</t>
  </si>
  <si>
    <t xml:space="preserve">M-001</t>
  </si>
  <si>
    <t xml:space="preserve">Thorfinn's entire first arc is built around avenging his father; revenge is the lens for years of his life.</t>
  </si>
  <si>
    <t xml:space="preserve">High</t>
  </si>
  <si>
    <t xml:space="preserve">Proposed</t>
  </si>
  <si>
    <t xml:space="preserve">(you)</t>
  </si>
  <si>
    <t xml:space="preserve">M-002</t>
  </si>
  <si>
    <t xml:space="preserve">Post-revenge arc explicitly built around 'I have no enemies' and atonement through farm labor.</t>
  </si>
  <si>
    <t xml:space="preserve">M-003</t>
  </si>
  <si>
    <t xml:space="preserve">Slave arc and farmland arc are literally about rebuilding a self after the destruction of the original purpose.</t>
  </si>
  <si>
    <t xml:space="preserve">M-004</t>
  </si>
  <si>
    <t xml:space="preserve">Askeladd, Canute, and Thorfinn all live in shades of grey; no clean heroes.</t>
  </si>
  <si>
    <t xml:space="preserve">M-005</t>
  </si>
  <si>
    <t xml:space="preserve">Rei's apartment scenes, his inability to communicate with peers, recurring imagery of him underwater alone.</t>
  </si>
  <si>
    <t xml:space="preserve">M-006</t>
  </si>
  <si>
    <t xml:space="preserve">Kawamoto sisters' household repeatedly functions as the place where Rei thaws.</t>
  </si>
  <si>
    <t xml:space="preserve">M-007</t>
  </si>
  <si>
    <t xml:space="preserve">Rei's exhaustion from shogi-as-survival is depicted clinically and patiently.</t>
  </si>
  <si>
    <t xml:space="preserve">M-008</t>
  </si>
  <si>
    <t xml:space="preserve">Slow seasonal pacing, food scenes, river walks — atmosphere is built for comfort.</t>
  </si>
  <si>
    <t xml:space="preserve">M-009</t>
  </si>
  <si>
    <t xml:space="preserve">Entire plot is Shoya trying to make amends to Shoko years after bullying her.</t>
  </si>
  <si>
    <t xml:space="preserve">M-010</t>
  </si>
  <si>
    <t xml:space="preserve">Both Shoya and Shoko are isolated, in different ways; visual motif of crossed-out faces.</t>
  </si>
  <si>
    <t xml:space="preserve">M-011</t>
  </si>
  <si>
    <t xml:space="preserve">Final third of the film is explicitly about both characters learning to be seen.</t>
  </si>
  <si>
    <t xml:space="preserve">M-012</t>
  </si>
  <si>
    <t xml:space="preserve">Satou is hikikomori; the whole story is built around the social vacuum that creates.</t>
  </si>
  <si>
    <t xml:space="preserve">M-013</t>
  </si>
  <si>
    <t xml:space="preserve">Satou's self-image vs. his actual behavior is the engine of every arc.</t>
  </si>
  <si>
    <t xml:space="preserve">M-014</t>
  </si>
  <si>
    <t xml:space="preserve">Less about work burnout, more about being burned-out on existing.</t>
  </si>
  <si>
    <t xml:space="preserve">M-015</t>
  </si>
  <si>
    <t xml:space="preserve">Eren's entire arc is about freedom; the word is repeated in dialogue and opening lyrics.</t>
  </si>
  <si>
    <t xml:space="preserve">M-016</t>
  </si>
  <si>
    <t xml:space="preserve">By the final arcs, every faction has both legitimate grievances and indefensible actions.</t>
  </si>
  <si>
    <t xml:space="preserve">M-017</t>
  </si>
  <si>
    <t xml:space="preserve">Multiple arcs are designed to wreck the viewer; community discussions consistently describe being broken.</t>
  </si>
  <si>
    <t xml:space="preserve">M-018</t>
  </si>
  <si>
    <t xml:space="preserve">Eren's identity dissolves and reforms repeatedly across the timeline.</t>
  </si>
  <si>
    <t xml:space="preserve">M-019</t>
  </si>
  <si>
    <t xml:space="preserve">Power-progression structure literally about leveling up; ambition is the engine.</t>
  </si>
  <si>
    <t xml:space="preserve">M-020</t>
  </si>
  <si>
    <t xml:space="preserve">System is private to Jinwoo; the climb is solitary by design.</t>
  </si>
  <si>
    <t xml:space="preserve">M-021</t>
  </si>
  <si>
    <t xml:space="preserve">Jinwoo's transformation from weakest to strongest is itself a rebuilding arc.</t>
  </si>
  <si>
    <t xml:space="preserve">M-022</t>
  </si>
  <si>
    <t xml:space="preserve">The tower itself is ambition externalized; every floor asks what you'll trade.</t>
  </si>
  <si>
    <t xml:space="preserve">M-023</t>
  </si>
  <si>
    <t xml:space="preserve">Bam's allies and enemies blur repeatedly; the tower rewards both kindness and ruthlessness.</t>
  </si>
  <si>
    <t xml:space="preserve">M-024</t>
  </si>
  <si>
    <t xml:space="preserve">Black Swordsman arc and beyond is explicitly Guts' revenge against Griffith.</t>
  </si>
  <si>
    <t xml:space="preserve">M-025</t>
  </si>
  <si>
    <t xml:space="preserve">The Eclipse arc is among the most-discussed examples in fandom of stories that emotionally destroy viewers.</t>
  </si>
  <si>
    <t xml:space="preserve">M-026</t>
  </si>
  <si>
    <t xml:space="preserve">Guts' grief for the Hawks and for Casca shapes every subsequent decision.</t>
  </si>
  <si>
    <t xml:space="preserve">M-027</t>
  </si>
  <si>
    <t xml:space="preserve">Kousei's grief over his mother is the unresolved core; the ending deepens it.</t>
  </si>
  <si>
    <t xml:space="preserve">M-028</t>
  </si>
  <si>
    <t xml:space="preserve">Kaori's role is to draw Kousei back to music; her presence is structurally healing.</t>
  </si>
  <si>
    <t xml:space="preserve">M-029</t>
  </si>
  <si>
    <t xml:space="preserve">Final episodes are consistently cited as among the most cathartic in modern anime.</t>
  </si>
  <si>
    <t xml:space="preserve">M-030</t>
  </si>
  <si>
    <t xml:space="preserve">Considered by many readers to be the most devastating manga they've finished.</t>
  </si>
  <si>
    <t xml:space="preserve">M-031</t>
  </si>
  <si>
    <t xml:space="preserve">Punpun's drawn representation literally changes as his sense of self breaks.</t>
  </si>
  <si>
    <t xml:space="preserve">M-032</t>
  </si>
  <si>
    <t xml:space="preserve">Punpun's emotional isolation is the throughline regardless of who is physically near him.</t>
  </si>
  <si>
    <t xml:space="preserve">M-033</t>
  </si>
  <si>
    <t xml:space="preserve">Story opens with the death of Himmel; grief deepens slowly across episodes.</t>
  </si>
  <si>
    <t xml:space="preserve">M-034</t>
  </si>
  <si>
    <t xml:space="preserve">Memory and the passage of time are the central emotional engine.</t>
  </si>
  <si>
    <t xml:space="preserve">M-035</t>
  </si>
  <si>
    <t xml:space="preserve">Pacing is deliberately gentle; melancholy without devastation.</t>
  </si>
  <si>
    <t xml:space="preserve">M-036</t>
  </si>
  <si>
    <t xml:space="preserve">Denji's wants are simple; the world's stakes are not. The mismatch IS the dread.</t>
  </si>
  <si>
    <t xml:space="preserve">M-037</t>
  </si>
  <si>
    <t xml:space="preserve">No clean factions; Makima's actions reframe the entire premise.</t>
  </si>
  <si>
    <t xml:space="preserve">M-038</t>
  </si>
  <si>
    <t xml:space="preserve">Tanjiro's grief for his family is the originating wound and recurring motif.</t>
  </si>
  <si>
    <t xml:space="preserve">M-039</t>
  </si>
  <si>
    <t xml:space="preserve">Tanjiro's persistent kindness toward demons is the show's emotional signature.</t>
  </si>
  <si>
    <t xml:space="preserve">M-040</t>
  </si>
  <si>
    <t xml:space="preserve">Okabe's mid-series shift is explicitly about trying to undo what he caused.</t>
  </si>
  <si>
    <t xml:space="preserve">M-041</t>
  </si>
  <si>
    <t xml:space="preserve">The mid-series turn is widely cited as the moment the show breaks viewers.</t>
  </si>
  <si>
    <t xml:space="preserve">M-042</t>
  </si>
  <si>
    <t xml:space="preserve">Tonal whiplash and specific arcs are infamous in fandom for emotional impact.</t>
  </si>
  <si>
    <t xml:space="preserve">M-043</t>
  </si>
  <si>
    <t xml:space="preserve">The Abyss itself functions as cosmic indifference made geographic.</t>
  </si>
  <si>
    <t xml:space="preserve">M-044</t>
  </si>
  <si>
    <t xml:space="preserve">Pacing, music, and atmosphere are calibrated for stillness.</t>
  </si>
  <si>
    <t xml:space="preserve">M-045</t>
  </si>
  <si>
    <t xml:space="preserve">Visual language and recurring rural settings evoke a remembered Japan.</t>
  </si>
  <si>
    <t xml:space="preserve">M-046</t>
  </si>
  <si>
    <t xml:space="preserve">Every major character's arc tests what they want enough to pay for.</t>
  </si>
  <si>
    <t xml:space="preserve">M-047</t>
  </si>
  <si>
    <t xml:space="preserve">Chimera Ant arc is one of the most-cited examples of moral complexity in shonen.</t>
  </si>
  <si>
    <t xml:space="preserve">M-048</t>
  </si>
  <si>
    <t xml:space="preserve">Subaru's character arc is repeatedly built around being forced to face his worst self.</t>
  </si>
  <si>
    <t xml:space="preserve">M-049</t>
  </si>
  <si>
    <t xml:space="preserve">Several arcs are specifically engineered for cathartic breakdown.</t>
  </si>
  <si>
    <t xml:space="preserve">M-050</t>
  </si>
  <si>
    <t xml:space="preserve">Show explicitly argues that kindness and emotional growth matter more than power.</t>
  </si>
  <si>
    <t xml:space="preserve">M-051</t>
  </si>
  <si>
    <t xml:space="preserve">Tone is consistently warm even in high-stakes arcs.</t>
  </si>
  <si>
    <t xml:space="preserve">M-052</t>
  </si>
  <si>
    <t xml:space="preserve">Central premise is a doctor's choice to save a life that becomes catastrophic.</t>
  </si>
  <si>
    <t xml:space="preserve">M-053</t>
  </si>
  <si>
    <t xml:space="preserve">Series sustains philosophical weight about whether some people should exist.</t>
  </si>
  <si>
    <t xml:space="preserve">M-054</t>
  </si>
  <si>
    <t xml:space="preserve">Musashi's journey is from violent strength to something he himself cannot yet name.</t>
  </si>
  <si>
    <t xml:space="preserve">M-055</t>
  </si>
  <si>
    <t xml:space="preserve">Long farmland arc directly parallels Vinland Saga's emotional structure.</t>
  </si>
  <si>
    <t xml:space="preserve">M-056</t>
  </si>
  <si>
    <t xml:space="preserve">Final third reframes the entire story around irretrievable loss.</t>
  </si>
  <si>
    <t xml:space="preserve">M-057</t>
  </si>
  <si>
    <t xml:space="preserve">Memory and the cost of having had a creative partner are the story's spine.</t>
  </si>
  <si>
    <t xml:space="preserve">M-058</t>
  </si>
  <si>
    <t xml:space="preserve">Dokja's path is built around using knowledge to climb.</t>
  </si>
  <si>
    <t xml:space="preserve">M-059</t>
  </si>
  <si>
    <t xml:space="preserve">Dokja's relationship to the protagonist of his novel becomes a story about responsibility.</t>
  </si>
  <si>
    <t xml:space="preserve">M-060</t>
  </si>
  <si>
    <t xml:space="preserve">Premise is literally a second life; the do-over IS the story.</t>
  </si>
  <si>
    <t xml:space="preserve">M-061</t>
  </si>
  <si>
    <t xml:space="preserve">Power progression is structurally central, though softer than Solo Leveling.</t>
  </si>
  <si>
    <t xml:space="preserve">M-062</t>
  </si>
  <si>
    <t xml:space="preserve">Luffy's defining trait is freedom; reaffirmed in nearly every arc.</t>
  </si>
  <si>
    <t xml:space="preserve">M-063</t>
  </si>
  <si>
    <t xml:space="preserve">Show's tonal default is optimism, even in tragic arcs.</t>
  </si>
  <si>
    <t xml:space="preserve">M-064</t>
  </si>
  <si>
    <t xml:space="preserve">Naruto's early loneliness is the foundation of every later relationship arc.</t>
  </si>
  <si>
    <t xml:space="preserve">M-065</t>
  </si>
  <si>
    <t xml:space="preserve">Hokage goal is the engine of nearly every Naruto-focused arc.</t>
  </si>
  <si>
    <t xml:space="preserve">M-066</t>
  </si>
  <si>
    <t xml:space="preserve">Light's gradual corruption is the central concern of the entire series.</t>
  </si>
  <si>
    <t xml:space="preserve">M-067</t>
  </si>
  <si>
    <t xml:space="preserve">Show poses persistent questions about justice and human authority.</t>
  </si>
  <si>
    <t xml:space="preserve">M-068</t>
  </si>
  <si>
    <t xml:space="preserve">Kaneki's split identity is the literal premise; his hair-color change is the visual marker.</t>
  </si>
  <si>
    <t xml:space="preserve">M-069</t>
  </si>
  <si>
    <t xml:space="preserve">Ghouls and humans are both shown as victims and perpetrators.</t>
  </si>
  <si>
    <t xml:space="preserve">M-070</t>
  </si>
  <si>
    <t xml:space="preserve">Shinji's relationship to himself is the central concern; explicitly depicted in final episodes.</t>
  </si>
  <si>
    <t xml:space="preserve">M-071</t>
  </si>
  <si>
    <t xml:space="preserve">Hedgehog's dilemma is named in-show; every character is isolated in a different way.</t>
  </si>
  <si>
    <t xml:space="preserve">M-072</t>
  </si>
  <si>
    <t xml:space="preserve">Series sustains philosophical and psychological weight throughout.</t>
  </si>
  <si>
    <t xml:space="preserve">M-073</t>
  </si>
  <si>
    <t xml:space="preserve">Show is literally about a character learning what feelings are.</t>
  </si>
  <si>
    <t xml:space="preserve">M-074</t>
  </si>
  <si>
    <t xml:space="preserve">Violet's relationship to Gilbert is unresolved grief made productive.</t>
  </si>
  <si>
    <t xml:space="preserve">M-075</t>
  </si>
  <si>
    <t xml:space="preserve">Her past as a soldier is the wound the letters slowly address.</t>
  </si>
  <si>
    <t xml:space="preserve">Character ID</t>
  </si>
  <si>
    <t xml:space="preserve">Character Name</t>
  </si>
  <si>
    <t xml:space="preserve">Role</t>
  </si>
  <si>
    <t xml:space="preserve">Psychology ID(s)</t>
  </si>
  <si>
    <t xml:space="preserve">Arc Summary</t>
  </si>
  <si>
    <t xml:space="preserve">Why People Connect</t>
  </si>
  <si>
    <t xml:space="preserve">C-001</t>
  </si>
  <si>
    <t xml:space="preserve">Thorfinn</t>
  </si>
  <si>
    <t xml:space="preserve">Protagonist</t>
  </si>
  <si>
    <t xml:space="preserve">PSY-02, PSY-15, PSY-01</t>
  </si>
  <si>
    <t xml:space="preserve">Revenge-driven child soldier → emptiness after vengeance → slow rebuilding as a farmer who refuses violence.</t>
  </si>
  <si>
    <t xml:space="preserve">People connect with Thorfinn when they are drawn to stories about anger losing meaning and a person rebuilding themselves from the damage they carried.</t>
  </si>
  <si>
    <t xml:space="preserve">C-002</t>
  </si>
  <si>
    <t xml:space="preserve">Rei Kiriyama</t>
  </si>
  <si>
    <t xml:space="preserve">PSY-04, PSY-14</t>
  </si>
  <si>
    <t xml:space="preserve">Emotionally numbed teenage shogi player → slowly learns what it means to be welcomed.</t>
  </si>
  <si>
    <t xml:space="preserve">People connect with Rei when they recognize the feeling of being functional on the outside while underwater on the inside.</t>
  </si>
  <si>
    <t xml:space="preserve">C-003</t>
  </si>
  <si>
    <t xml:space="preserve">Shoya Ishida</t>
  </si>
  <si>
    <t xml:space="preserve">PSY-01, PSY-15</t>
  </si>
  <si>
    <t xml:space="preserve">Childhood bully → years of self-isolation → adult attempt at atonement.</t>
  </si>
  <si>
    <t xml:space="preserve">People connect with Shoya when they carry a specific guilt they can't undo and want to believe atonement is still possible.</t>
  </si>
  <si>
    <t xml:space="preserve">C-004</t>
  </si>
  <si>
    <t xml:space="preserve">Satou Tatsuhiro</t>
  </si>
  <si>
    <t xml:space="preserve">PSY-09, PSY-03</t>
  </si>
  <si>
    <t xml:space="preserve">Reclusive young man whose self-image and behavior repeatedly fail to match.</t>
  </si>
  <si>
    <t xml:space="preserve">People connect with Satou when they recognize the loop of self-hatred + avoidance + occasional grace.</t>
  </si>
  <si>
    <t xml:space="preserve">C-005</t>
  </si>
  <si>
    <t xml:space="preserve">Eren Yeager</t>
  </si>
  <si>
    <t xml:space="preserve">PSY-11, PSY-08</t>
  </si>
  <si>
    <t xml:space="preserve">Freedom-obsessed boy → ideological extremist → tragic figure whose final actions divide fandom.</t>
  </si>
  <si>
    <t xml:space="preserve">People connect with (and disagree about) Eren because freedom and harm are entangled in him in a way the show refuses to clean up.</t>
  </si>
  <si>
    <t xml:space="preserve">C-006</t>
  </si>
  <si>
    <t xml:space="preserve">Sung Jinwoo</t>
  </si>
  <si>
    <t xml:space="preserve">PSY-05, PSY-10</t>
  </si>
  <si>
    <t xml:space="preserve">Weakest hunter → solo system → quietly devastating climb.</t>
  </si>
  <si>
    <t xml:space="preserve">People connect with Jinwoo when the appeal of climbing alone — and being feared as a result — speaks to them.</t>
  </si>
  <si>
    <t xml:space="preserve">C-007</t>
  </si>
  <si>
    <t xml:space="preserve">Guts</t>
  </si>
  <si>
    <t xml:space="preserve">PSY-02, PSY-01, PSY-06</t>
  </si>
  <si>
    <t xml:space="preserve">Mercenary betrayed by his best friend → rage-as-survival → fragile attempts at carrying others.</t>
  </si>
  <si>
    <t xml:space="preserve">People connect with Guts when survival despite everything is the most they can ask of themselves.</t>
  </si>
  <si>
    <t xml:space="preserve">C-008</t>
  </si>
  <si>
    <t xml:space="preserve">Punpun Onodera</t>
  </si>
  <si>
    <t xml:space="preserve">A boy whose representation literally changes shape as his sense of self deteriorates.</t>
  </si>
  <si>
    <t xml:space="preserve">People connect with Punpun when self-hatred has its own internal logic they recognize.</t>
  </si>
  <si>
    <t xml:space="preserve">C-009</t>
  </si>
  <si>
    <t xml:space="preserve">Frieren</t>
  </si>
  <si>
    <t xml:space="preserve">Elf mage who outlived her companions → late grief → slow understanding.</t>
  </si>
  <si>
    <t xml:space="preserve">People connect with Frieren when they have realized too late how much someone meant to them.</t>
  </si>
  <si>
    <t xml:space="preserve">C-010</t>
  </si>
  <si>
    <t xml:space="preserve">Shinji Ikari</t>
  </si>
  <si>
    <t xml:space="preserve">PSY-03, PSY-09, PSY-14</t>
  </si>
  <si>
    <t xml:space="preserve">Fourteen-year-old asked to carry the weight of everyone's hopes and traumas.</t>
  </si>
  <si>
    <t xml:space="preserve">People connect with Shinji when the show stops being about robots and starts being about whether he can bear to exist.</t>
  </si>
  <si>
    <t xml:space="preserve">Validation Log — feedback from real fans testing your recommendations</t>
  </si>
  <si>
    <t xml:space="preserve">Goal: show this workbook (or its outputs) to 5-10 anime/manhwa friends. Record honest reactions.</t>
  </si>
  <si>
    <t xml:space="preserve">Tester (initials)</t>
  </si>
  <si>
    <t xml:space="preserve">Tester Background</t>
  </si>
  <si>
    <t xml:space="preserve">Tested Query / Mood</t>
  </si>
  <si>
    <t xml:space="preserve">Recommended Title(s)</t>
  </si>
  <si>
    <t xml:space="preserve">Did It Match? (Y/N/Partial)</t>
  </si>
  <si>
    <t xml:space="preserve">Their Feedback</t>
  </si>
  <si>
    <t xml:space="preserve">Action to Take</t>
  </si>
  <si>
    <t xml:space="preserve">—</t>
  </si>
  <si>
    <t xml:space="preserve">e.g., 25yo manhwa fan, loves Tower of God</t>
  </si>
  <si>
    <t xml:space="preserve">I feel lonely and want to rebuild</t>
  </si>
  <si>
    <t xml:space="preserve">March Comes in Like a Lion, Welcome to the NHK</t>
  </si>
  <si>
    <t xml:space="preserve">Y</t>
  </si>
  <si>
    <t xml:space="preserve">'March felt exactly right. NHK felt too dark for this mood.'</t>
  </si>
  <si>
    <t xml:space="preserve">Add 'intensity mismatch' flag to NHK for this query</t>
  </si>
  <si>
    <t xml:space="preserve">Daily Habit Tracker — show up every day, even for 15 minutes</t>
  </si>
  <si>
    <t xml:space="preserve">The single biggest predictor of success: consistency. Mark each day you did at least one of the tasks below.</t>
  </si>
  <si>
    <t xml:space="preserve">Day #</t>
  </si>
  <si>
    <t xml:space="preserve">Mappings Added</t>
  </si>
  <si>
    <t xml:space="preserve">Reddit Comments (real)</t>
  </si>
  <si>
    <t xml:space="preserve">Time Spent (min)</t>
  </si>
  <si>
    <t xml:space="preserve">Notes / Wins</t>
  </si>
  <si>
    <t xml:space="preserve">Streak</t>
  </si>
  <si>
    <t xml:space="preserve">60-DAY SUMMARY</t>
  </si>
  <si>
    <t xml:space="preserve">Total active days</t>
  </si>
  <si>
    <t xml:space="preserve">Total mappings added</t>
  </si>
  <si>
    <t xml:space="preserve">Total Reddit comments</t>
  </si>
  <si>
    <t xml:space="preserve">Total time (hours)</t>
  </si>
  <si>
    <t xml:space="preserve">Longest streak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</si>
</sst>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1E3F"/>
      <name val="Arial"/>
      <family val="0"/>
      <charset val="1"/>
    </font>
    <font>
      <i val="true"/>
      <sz val="10"/>
      <color rgb="FF5A6478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6C4DF6"/>
        <bgColor rgb="FF5A6478"/>
      </patternFill>
    </fill>
    <fill>
      <patternFill patternType="solid">
        <fgColor rgb="FF0B1E3F"/>
        <bgColor rgb="FF003300"/>
      </patternFill>
    </fill>
    <fill>
      <patternFill patternType="solid">
        <fgColor rgb="FFF4F2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8D5E8"/>
      </left>
      <right style="thin">
        <color rgb="FFD8D5E8"/>
      </right>
      <top style="thin">
        <color rgb="FFD8D5E8"/>
      </top>
      <bottom style="thin">
        <color rgb="FFD8D5E8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FFFFFF"/>
        <sz val="10"/>
      </font>
      <fill>
        <patternFill>
          <bgColor rgb="FF1F9D55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C97C00"/>
        </patternFill>
      </fill>
    </dxf>
    <dxf>
      <font>
        <name val="Arial"/>
        <charset val="1"/>
        <family val="0"/>
        <b val="1"/>
        <color rgb="FFFFFFFF"/>
        <sz val="10"/>
      </font>
      <fill>
        <patternFill>
          <bgColor rgb="FFC0392B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4F2FB"/>
      <rgbColor rgb="FFCCFFFF"/>
      <rgbColor rgb="FF660066"/>
      <rgbColor rgb="FFFF8080"/>
      <rgbColor rgb="FF0066CC"/>
      <rgbColor rgb="FFD8D5E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6C4DF6"/>
      <rgbColor rgb="FF33CCCC"/>
      <rgbColor rgb="FF99CC00"/>
      <rgbColor rgb="FFFFCC00"/>
      <rgbColor rgb="FFFF9900"/>
      <rgbColor rgb="FFC97C00"/>
      <rgbColor rgb="FF5A6478"/>
      <rgbColor rgb="FF969696"/>
      <rgbColor rgb="FF0B1E3F"/>
      <rgbColor rgb="FF1F9D55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E3F"/>
    <pageSetUpPr fitToPage="false"/>
  </sheetPr>
  <dimension ref="A1:E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5" min="2" style="0" width="25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</row>
    <row r="4" customFormat="false" ht="15" hidden="false" customHeight="false" outlineLevel="0" collapsed="false">
      <c r="A4" s="3"/>
      <c r="B4" s="4"/>
      <c r="C4" s="4"/>
      <c r="D4" s="4"/>
      <c r="E4" s="4"/>
    </row>
    <row r="5" customFormat="false" ht="26.85" hidden="false" customHeight="false" outlineLevel="0" collapsed="false">
      <c r="A5" s="5" t="s">
        <v>2</v>
      </c>
      <c r="B5" s="6"/>
      <c r="C5" s="6"/>
      <c r="D5" s="6"/>
      <c r="E5" s="6"/>
    </row>
    <row r="6" customFormat="false" ht="15" hidden="false" customHeight="true" outlineLevel="0" collapsed="false">
      <c r="A6" s="3" t="s">
        <v>3</v>
      </c>
      <c r="B6" s="4" t="s">
        <v>4</v>
      </c>
      <c r="C6" s="4"/>
      <c r="D6" s="4"/>
      <c r="E6" s="4"/>
    </row>
    <row r="7" customFormat="false" ht="15" hidden="false" customHeight="true" outlineLevel="0" collapsed="false">
      <c r="A7" s="3" t="s">
        <v>5</v>
      </c>
      <c r="B7" s="4" t="s">
        <v>6</v>
      </c>
      <c r="C7" s="4"/>
      <c r="D7" s="4"/>
      <c r="E7" s="4"/>
    </row>
    <row r="8" customFormat="false" ht="15" hidden="false" customHeight="true" outlineLevel="0" collapsed="false">
      <c r="A8" s="3" t="s">
        <v>7</v>
      </c>
      <c r="B8" s="4" t="s">
        <v>8</v>
      </c>
      <c r="C8" s="4"/>
      <c r="D8" s="4"/>
      <c r="E8" s="4"/>
    </row>
    <row r="9" customFormat="false" ht="15" hidden="false" customHeight="true" outlineLevel="0" collapsed="false">
      <c r="A9" s="3" t="s">
        <v>9</v>
      </c>
      <c r="B9" s="4" t="s">
        <v>10</v>
      </c>
      <c r="C9" s="4"/>
      <c r="D9" s="4"/>
      <c r="E9" s="4"/>
    </row>
    <row r="10" customFormat="false" ht="15" hidden="false" customHeight="true" outlineLevel="0" collapsed="false">
      <c r="A10" s="3" t="s">
        <v>11</v>
      </c>
      <c r="B10" s="4" t="s">
        <v>12</v>
      </c>
      <c r="C10" s="4"/>
      <c r="D10" s="4"/>
      <c r="E10" s="4"/>
    </row>
    <row r="11" customFormat="false" ht="15" hidden="false" customHeight="true" outlineLevel="0" collapsed="false">
      <c r="A11" s="3" t="s">
        <v>13</v>
      </c>
      <c r="B11" s="4" t="s">
        <v>14</v>
      </c>
      <c r="C11" s="4"/>
      <c r="D11" s="4"/>
      <c r="E11" s="4"/>
    </row>
    <row r="12" customFormat="false" ht="15" hidden="false" customHeight="false" outlineLevel="0" collapsed="false">
      <c r="A12" s="3"/>
      <c r="B12" s="4"/>
      <c r="C12" s="4"/>
      <c r="D12" s="4"/>
      <c r="E12" s="4"/>
    </row>
    <row r="13" customFormat="false" ht="15" hidden="false" customHeight="false" outlineLevel="0" collapsed="false">
      <c r="A13" s="5" t="s">
        <v>15</v>
      </c>
      <c r="B13" s="6"/>
      <c r="C13" s="6"/>
      <c r="D13" s="6"/>
      <c r="E13" s="6"/>
    </row>
    <row r="14" customFormat="false" ht="15" hidden="false" customHeight="true" outlineLevel="0" collapsed="false">
      <c r="A14" s="3" t="s">
        <v>16</v>
      </c>
      <c r="B14" s="4" t="s">
        <v>17</v>
      </c>
      <c r="C14" s="4"/>
      <c r="D14" s="4"/>
      <c r="E14" s="4"/>
    </row>
    <row r="15" customFormat="false" ht="15" hidden="false" customHeight="true" outlineLevel="0" collapsed="false">
      <c r="A15" s="3" t="s">
        <v>18</v>
      </c>
      <c r="B15" s="4" t="s">
        <v>19</v>
      </c>
      <c r="C15" s="4"/>
      <c r="D15" s="4"/>
      <c r="E15" s="4"/>
    </row>
    <row r="16" customFormat="false" ht="23.85" hidden="false" customHeight="true" outlineLevel="0" collapsed="false">
      <c r="A16" s="3" t="s">
        <v>20</v>
      </c>
      <c r="B16" s="4" t="s">
        <v>21</v>
      </c>
      <c r="C16" s="4"/>
      <c r="D16" s="4"/>
      <c r="E16" s="4"/>
    </row>
    <row r="17" customFormat="false" ht="15" hidden="false" customHeight="true" outlineLevel="0" collapsed="false">
      <c r="A17" s="3" t="s">
        <v>22</v>
      </c>
      <c r="B17" s="4" t="s">
        <v>23</v>
      </c>
      <c r="C17" s="4"/>
      <c r="D17" s="4"/>
      <c r="E17" s="4"/>
    </row>
    <row r="18" customFormat="false" ht="15" hidden="false" customHeight="true" outlineLevel="0" collapsed="false">
      <c r="A18" s="3" t="s">
        <v>24</v>
      </c>
      <c r="B18" s="4" t="s">
        <v>25</v>
      </c>
      <c r="C18" s="4"/>
      <c r="D18" s="4"/>
      <c r="E18" s="4"/>
    </row>
    <row r="19" customFormat="false" ht="15" hidden="false" customHeight="true" outlineLevel="0" collapsed="false">
      <c r="A19" s="3" t="s">
        <v>26</v>
      </c>
      <c r="B19" s="4" t="s">
        <v>27</v>
      </c>
      <c r="C19" s="4"/>
      <c r="D19" s="4"/>
      <c r="E19" s="4"/>
    </row>
    <row r="20" customFormat="false" ht="15" hidden="false" customHeight="true" outlineLevel="0" collapsed="false">
      <c r="A20" s="3" t="s">
        <v>28</v>
      </c>
      <c r="B20" s="4" t="s">
        <v>29</v>
      </c>
      <c r="C20" s="4"/>
      <c r="D20" s="4"/>
      <c r="E20" s="4"/>
    </row>
    <row r="21" customFormat="false" ht="15" hidden="false" customHeight="true" outlineLevel="0" collapsed="false">
      <c r="A21" s="3" t="s">
        <v>30</v>
      </c>
      <c r="B21" s="4" t="s">
        <v>31</v>
      </c>
      <c r="C21" s="4"/>
      <c r="D21" s="4"/>
      <c r="E21" s="4"/>
    </row>
    <row r="22" customFormat="false" ht="15" hidden="false" customHeight="false" outlineLevel="0" collapsed="false">
      <c r="A22" s="3"/>
      <c r="B22" s="4"/>
      <c r="C22" s="4"/>
      <c r="D22" s="4"/>
      <c r="E22" s="4"/>
    </row>
    <row r="23" customFormat="false" ht="26.85" hidden="false" customHeight="false" outlineLevel="0" collapsed="false">
      <c r="A23" s="5" t="s">
        <v>32</v>
      </c>
      <c r="B23" s="6"/>
      <c r="C23" s="6"/>
      <c r="D23" s="6"/>
      <c r="E23" s="6"/>
    </row>
    <row r="24" customFormat="false" ht="15" hidden="false" customHeight="true" outlineLevel="0" collapsed="false">
      <c r="A24" s="3" t="s">
        <v>33</v>
      </c>
      <c r="B24" s="4" t="s">
        <v>34</v>
      </c>
      <c r="C24" s="4"/>
      <c r="D24" s="4"/>
      <c r="E24" s="4"/>
    </row>
    <row r="25" customFormat="false" ht="15" hidden="false" customHeight="true" outlineLevel="0" collapsed="false">
      <c r="A25" s="3" t="s">
        <v>33</v>
      </c>
      <c r="B25" s="4" t="s">
        <v>35</v>
      </c>
      <c r="C25" s="4"/>
      <c r="D25" s="4"/>
      <c r="E25" s="4"/>
    </row>
    <row r="26" customFormat="false" ht="15" hidden="false" customHeight="true" outlineLevel="0" collapsed="false">
      <c r="A26" s="3" t="s">
        <v>33</v>
      </c>
      <c r="B26" s="4" t="s">
        <v>36</v>
      </c>
      <c r="C26" s="4"/>
      <c r="D26" s="4"/>
      <c r="E26" s="4"/>
    </row>
    <row r="27" customFormat="false" ht="15" hidden="false" customHeight="true" outlineLevel="0" collapsed="false">
      <c r="A27" s="3" t="s">
        <v>33</v>
      </c>
      <c r="B27" s="4" t="s">
        <v>37</v>
      </c>
      <c r="C27" s="4"/>
      <c r="D27" s="4"/>
      <c r="E27" s="4"/>
    </row>
    <row r="28" customFormat="false" ht="15" hidden="false" customHeight="true" outlineLevel="0" collapsed="false">
      <c r="A28" s="3" t="s">
        <v>33</v>
      </c>
      <c r="B28" s="4" t="s">
        <v>38</v>
      </c>
      <c r="C28" s="4"/>
      <c r="D28" s="4"/>
      <c r="E28" s="4"/>
    </row>
    <row r="29" customFormat="false" ht="15" hidden="false" customHeight="false" outlineLevel="0" collapsed="false">
      <c r="A29" s="3"/>
      <c r="B29" s="4"/>
      <c r="C29" s="4"/>
      <c r="D29" s="4"/>
      <c r="E29" s="4"/>
    </row>
    <row r="30" customFormat="false" ht="23.85" hidden="false" customHeight="false" outlineLevel="0" collapsed="false">
      <c r="A30" s="3" t="s">
        <v>39</v>
      </c>
      <c r="B30" s="4"/>
      <c r="C30" s="4"/>
      <c r="D30" s="4"/>
      <c r="E30" s="4"/>
    </row>
    <row r="31" customFormat="false" ht="15" hidden="false" customHeight="true" outlineLevel="0" collapsed="false">
      <c r="A31" s="3" t="s">
        <v>40</v>
      </c>
      <c r="B31" s="4" t="s">
        <v>41</v>
      </c>
      <c r="C31" s="4"/>
      <c r="D31" s="4"/>
      <c r="E31" s="4"/>
    </row>
    <row r="32" customFormat="false" ht="15" hidden="false" customHeight="true" outlineLevel="0" collapsed="false">
      <c r="A32" s="3" t="s">
        <v>40</v>
      </c>
      <c r="B32" s="4" t="s">
        <v>42</v>
      </c>
      <c r="C32" s="4"/>
      <c r="D32" s="4"/>
      <c r="E32" s="4"/>
    </row>
    <row r="33" customFormat="false" ht="15" hidden="false" customHeight="true" outlineLevel="0" collapsed="false">
      <c r="A33" s="3" t="s">
        <v>40</v>
      </c>
      <c r="B33" s="4" t="s">
        <v>43</v>
      </c>
      <c r="C33" s="4"/>
      <c r="D33" s="4"/>
      <c r="E33" s="4"/>
    </row>
    <row r="34" customFormat="false" ht="15" hidden="false" customHeight="true" outlineLevel="0" collapsed="false">
      <c r="A34" s="3" t="s">
        <v>40</v>
      </c>
      <c r="B34" s="4" t="s">
        <v>44</v>
      </c>
      <c r="C34" s="4"/>
      <c r="D34" s="4"/>
      <c r="E34" s="4"/>
    </row>
  </sheetData>
  <mergeCells count="33">
    <mergeCell ref="A1:E1"/>
    <mergeCell ref="A2:E2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B27:E27"/>
    <mergeCell ref="B28:E28"/>
    <mergeCell ref="B29:E29"/>
    <mergeCell ref="B30:E30"/>
    <mergeCell ref="B31:E31"/>
    <mergeCell ref="B32:E32"/>
    <mergeCell ref="B33:E33"/>
    <mergeCell ref="B34:E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C4DF6"/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4" min="4" style="0" width="50"/>
    <col collapsed="false" customWidth="true" hidden="false" outlineLevel="0" max="5" min="5" style="0" width="16"/>
    <col collapsed="false" customWidth="true" hidden="false" outlineLevel="0" max="6" min="6" style="0" width="38"/>
  </cols>
  <sheetData>
    <row r="1" customFormat="false" ht="27.75" hidden="false" customHeight="true" outlineLevel="0" collapsed="false">
      <c r="A1" s="7" t="s">
        <v>45</v>
      </c>
      <c r="B1" s="7" t="s">
        <v>46</v>
      </c>
      <c r="C1" s="7" t="s">
        <v>47</v>
      </c>
      <c r="D1" s="7" t="s">
        <v>48</v>
      </c>
      <c r="E1" s="7" t="s">
        <v>49</v>
      </c>
      <c r="F1" s="7" t="s">
        <v>50</v>
      </c>
    </row>
    <row r="2" customFormat="false" ht="23.85" hidden="false" customHeight="false" outlineLevel="0" collapsed="false">
      <c r="A2" s="8" t="s">
        <v>51</v>
      </c>
      <c r="B2" s="8" t="s">
        <v>52</v>
      </c>
      <c r="C2" s="8" t="s">
        <v>53</v>
      </c>
      <c r="D2" s="8" t="s">
        <v>54</v>
      </c>
      <c r="E2" s="8" t="s">
        <v>55</v>
      </c>
      <c r="F2" s="8" t="s">
        <v>56</v>
      </c>
    </row>
    <row r="3" customFormat="false" ht="23.85" hidden="false" customHeight="false" outlineLevel="0" collapsed="false">
      <c r="A3" s="9" t="s">
        <v>57</v>
      </c>
      <c r="B3" s="9" t="s">
        <v>58</v>
      </c>
      <c r="C3" s="9" t="s">
        <v>53</v>
      </c>
      <c r="D3" s="9" t="s">
        <v>59</v>
      </c>
      <c r="E3" s="9" t="s">
        <v>60</v>
      </c>
      <c r="F3" s="9" t="s">
        <v>61</v>
      </c>
    </row>
    <row r="4" customFormat="false" ht="23.85" hidden="false" customHeight="false" outlineLevel="0" collapsed="false">
      <c r="A4" s="8" t="s">
        <v>62</v>
      </c>
      <c r="B4" s="8" t="s">
        <v>63</v>
      </c>
      <c r="C4" s="8" t="s">
        <v>53</v>
      </c>
      <c r="D4" s="8" t="s">
        <v>64</v>
      </c>
      <c r="E4" s="8" t="s">
        <v>65</v>
      </c>
      <c r="F4" s="8" t="s">
        <v>66</v>
      </c>
    </row>
    <row r="5" customFormat="false" ht="15" hidden="false" customHeight="false" outlineLevel="0" collapsed="false">
      <c r="A5" s="9" t="s">
        <v>67</v>
      </c>
      <c r="B5" s="9" t="s">
        <v>68</v>
      </c>
      <c r="C5" s="9" t="s">
        <v>53</v>
      </c>
      <c r="D5" s="9" t="s">
        <v>69</v>
      </c>
      <c r="E5" s="9" t="s">
        <v>65</v>
      </c>
      <c r="F5" s="9" t="s">
        <v>70</v>
      </c>
    </row>
    <row r="6" customFormat="false" ht="23.85" hidden="false" customHeight="false" outlineLevel="0" collapsed="false">
      <c r="A6" s="8" t="s">
        <v>71</v>
      </c>
      <c r="B6" s="8" t="s">
        <v>72</v>
      </c>
      <c r="C6" s="8" t="s">
        <v>53</v>
      </c>
      <c r="D6" s="8" t="s">
        <v>73</v>
      </c>
      <c r="E6" s="8" t="s">
        <v>65</v>
      </c>
      <c r="F6" s="8" t="s">
        <v>74</v>
      </c>
    </row>
    <row r="7" customFormat="false" ht="15" hidden="false" customHeight="false" outlineLevel="0" collapsed="false">
      <c r="A7" s="9" t="s">
        <v>75</v>
      </c>
      <c r="B7" s="9" t="s">
        <v>76</v>
      </c>
      <c r="C7" s="9" t="s">
        <v>53</v>
      </c>
      <c r="D7" s="9" t="s">
        <v>77</v>
      </c>
      <c r="E7" s="9" t="s">
        <v>65</v>
      </c>
      <c r="F7" s="9" t="s">
        <v>78</v>
      </c>
    </row>
    <row r="8" customFormat="false" ht="15" hidden="false" customHeight="false" outlineLevel="0" collapsed="false">
      <c r="A8" s="8" t="s">
        <v>79</v>
      </c>
      <c r="B8" s="8" t="s">
        <v>80</v>
      </c>
      <c r="C8" s="8" t="s">
        <v>53</v>
      </c>
      <c r="D8" s="8" t="s">
        <v>81</v>
      </c>
      <c r="E8" s="8" t="s">
        <v>60</v>
      </c>
      <c r="F8" s="8" t="s">
        <v>82</v>
      </c>
    </row>
    <row r="9" customFormat="false" ht="15" hidden="false" customHeight="false" outlineLevel="0" collapsed="false">
      <c r="A9" s="9" t="s">
        <v>83</v>
      </c>
      <c r="B9" s="9" t="s">
        <v>84</v>
      </c>
      <c r="C9" s="9" t="s">
        <v>53</v>
      </c>
      <c r="D9" s="9" t="s">
        <v>85</v>
      </c>
      <c r="E9" s="9" t="s">
        <v>86</v>
      </c>
      <c r="F9" s="9" t="s">
        <v>87</v>
      </c>
    </row>
    <row r="10" customFormat="false" ht="15" hidden="false" customHeight="false" outlineLevel="0" collapsed="false">
      <c r="A10" s="8" t="s">
        <v>88</v>
      </c>
      <c r="B10" s="8" t="s">
        <v>89</v>
      </c>
      <c r="C10" s="8" t="s">
        <v>90</v>
      </c>
      <c r="D10" s="8" t="s">
        <v>91</v>
      </c>
      <c r="E10" s="8" t="s">
        <v>92</v>
      </c>
      <c r="F10" s="8" t="s">
        <v>93</v>
      </c>
    </row>
    <row r="11" customFormat="false" ht="15" hidden="false" customHeight="false" outlineLevel="0" collapsed="false">
      <c r="A11" s="9" t="s">
        <v>94</v>
      </c>
      <c r="B11" s="9" t="s">
        <v>95</v>
      </c>
      <c r="C11" s="9" t="s">
        <v>90</v>
      </c>
      <c r="D11" s="9" t="s">
        <v>96</v>
      </c>
      <c r="E11" s="9" t="s">
        <v>86</v>
      </c>
      <c r="F11" s="9" t="s">
        <v>97</v>
      </c>
    </row>
    <row r="12" customFormat="false" ht="15" hidden="false" customHeight="false" outlineLevel="0" collapsed="false">
      <c r="A12" s="8" t="s">
        <v>98</v>
      </c>
      <c r="B12" s="8" t="s">
        <v>99</v>
      </c>
      <c r="C12" s="8" t="s">
        <v>100</v>
      </c>
      <c r="D12" s="8" t="s">
        <v>101</v>
      </c>
      <c r="E12" s="8" t="s">
        <v>65</v>
      </c>
      <c r="F12" s="8" t="s">
        <v>102</v>
      </c>
    </row>
    <row r="13" customFormat="false" ht="15" hidden="false" customHeight="false" outlineLevel="0" collapsed="false">
      <c r="A13" s="9" t="s">
        <v>103</v>
      </c>
      <c r="B13" s="9" t="s">
        <v>104</v>
      </c>
      <c r="C13" s="9" t="s">
        <v>100</v>
      </c>
      <c r="D13" s="9" t="s">
        <v>105</v>
      </c>
      <c r="E13" s="9" t="s">
        <v>65</v>
      </c>
      <c r="F13" s="9" t="s">
        <v>106</v>
      </c>
    </row>
    <row r="14" customFormat="false" ht="15" hidden="false" customHeight="false" outlineLevel="0" collapsed="false">
      <c r="A14" s="8" t="s">
        <v>107</v>
      </c>
      <c r="B14" s="8" t="s">
        <v>108</v>
      </c>
      <c r="C14" s="8" t="s">
        <v>109</v>
      </c>
      <c r="D14" s="8" t="s">
        <v>110</v>
      </c>
      <c r="E14" s="8" t="s">
        <v>111</v>
      </c>
      <c r="F14" s="8" t="s">
        <v>112</v>
      </c>
    </row>
    <row r="15" customFormat="false" ht="15" hidden="false" customHeight="false" outlineLevel="0" collapsed="false">
      <c r="A15" s="9" t="s">
        <v>113</v>
      </c>
      <c r="B15" s="9" t="s">
        <v>114</v>
      </c>
      <c r="C15" s="9" t="s">
        <v>109</v>
      </c>
      <c r="D15" s="9" t="s">
        <v>115</v>
      </c>
      <c r="E15" s="9" t="s">
        <v>65</v>
      </c>
      <c r="F15" s="9" t="s">
        <v>116</v>
      </c>
    </row>
    <row r="16" customFormat="false" ht="15" hidden="false" customHeight="false" outlineLevel="0" collapsed="false">
      <c r="A16" s="8" t="s">
        <v>117</v>
      </c>
      <c r="B16" s="8" t="s">
        <v>118</v>
      </c>
      <c r="C16" s="8" t="s">
        <v>90</v>
      </c>
      <c r="D16" s="8" t="s">
        <v>119</v>
      </c>
      <c r="E16" s="8" t="s">
        <v>60</v>
      </c>
      <c r="F16" s="8" t="s">
        <v>120</v>
      </c>
    </row>
    <row r="17" customFormat="false" ht="23.85" hidden="false" customHeight="false" outlineLevel="0" collapsed="false">
      <c r="A17" s="9" t="s">
        <v>121</v>
      </c>
      <c r="B17" s="9" t="s">
        <v>122</v>
      </c>
      <c r="C17" s="9" t="s">
        <v>53</v>
      </c>
      <c r="D17" s="9" t="s">
        <v>123</v>
      </c>
      <c r="E17" s="9" t="s">
        <v>65</v>
      </c>
      <c r="F17" s="9" t="s">
        <v>124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C4DF6"/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50"/>
    <col collapsed="false" customWidth="true" hidden="false" outlineLevel="0" max="4" min="4" style="0" width="14"/>
    <col collapsed="false" customWidth="true" hidden="false" outlineLevel="0" max="5" min="5" style="0" width="38"/>
  </cols>
  <sheetData>
    <row r="1" customFormat="false" ht="27.75" hidden="false" customHeight="true" outlineLevel="0" collapsed="false">
      <c r="A1" s="7" t="s">
        <v>125</v>
      </c>
      <c r="B1" s="7" t="s">
        <v>126</v>
      </c>
      <c r="C1" s="7" t="s">
        <v>127</v>
      </c>
      <c r="D1" s="7" t="s">
        <v>128</v>
      </c>
      <c r="E1" s="7" t="s">
        <v>129</v>
      </c>
    </row>
    <row r="2" customFormat="false" ht="15" hidden="false" customHeight="false" outlineLevel="0" collapsed="false">
      <c r="A2" s="8" t="s">
        <v>130</v>
      </c>
      <c r="B2" s="8" t="s">
        <v>131</v>
      </c>
      <c r="C2" s="8" t="s">
        <v>132</v>
      </c>
      <c r="D2" s="8" t="s">
        <v>133</v>
      </c>
      <c r="E2" s="8" t="s">
        <v>134</v>
      </c>
    </row>
    <row r="3" customFormat="false" ht="15" hidden="false" customHeight="false" outlineLevel="0" collapsed="false">
      <c r="A3" s="9" t="s">
        <v>135</v>
      </c>
      <c r="B3" s="9" t="s">
        <v>136</v>
      </c>
      <c r="C3" s="9" t="s">
        <v>137</v>
      </c>
      <c r="D3" s="9" t="s">
        <v>133</v>
      </c>
      <c r="E3" s="9" t="s">
        <v>138</v>
      </c>
    </row>
    <row r="4" customFormat="false" ht="15" hidden="false" customHeight="false" outlineLevel="0" collapsed="false">
      <c r="A4" s="8" t="s">
        <v>139</v>
      </c>
      <c r="B4" s="8" t="s">
        <v>140</v>
      </c>
      <c r="C4" s="8" t="s">
        <v>141</v>
      </c>
      <c r="D4" s="8" t="s">
        <v>142</v>
      </c>
      <c r="E4" s="8" t="s">
        <v>143</v>
      </c>
    </row>
    <row r="5" customFormat="false" ht="15" hidden="false" customHeight="false" outlineLevel="0" collapsed="false">
      <c r="A5" s="9" t="s">
        <v>144</v>
      </c>
      <c r="B5" s="9" t="s">
        <v>145</v>
      </c>
      <c r="C5" s="9" t="s">
        <v>146</v>
      </c>
      <c r="D5" s="9" t="s">
        <v>133</v>
      </c>
      <c r="E5" s="9" t="s">
        <v>147</v>
      </c>
    </row>
    <row r="6" customFormat="false" ht="15" hidden="false" customHeight="false" outlineLevel="0" collapsed="false">
      <c r="A6" s="8" t="s">
        <v>148</v>
      </c>
      <c r="B6" s="8" t="s">
        <v>149</v>
      </c>
      <c r="C6" s="8" t="s">
        <v>150</v>
      </c>
      <c r="D6" s="8" t="s">
        <v>133</v>
      </c>
      <c r="E6" s="8" t="s">
        <v>151</v>
      </c>
    </row>
    <row r="7" customFormat="false" ht="15" hidden="false" customHeight="false" outlineLevel="0" collapsed="false">
      <c r="A7" s="9" t="s">
        <v>152</v>
      </c>
      <c r="B7" s="9" t="s">
        <v>153</v>
      </c>
      <c r="C7" s="9" t="s">
        <v>154</v>
      </c>
      <c r="D7" s="9" t="s">
        <v>142</v>
      </c>
      <c r="E7" s="9" t="s">
        <v>155</v>
      </c>
    </row>
    <row r="8" customFormat="false" ht="15" hidden="false" customHeight="false" outlineLevel="0" collapsed="false">
      <c r="A8" s="8" t="s">
        <v>156</v>
      </c>
      <c r="B8" s="8" t="s">
        <v>157</v>
      </c>
      <c r="C8" s="8" t="s">
        <v>158</v>
      </c>
      <c r="D8" s="8" t="s">
        <v>133</v>
      </c>
      <c r="E8" s="8" t="s">
        <v>159</v>
      </c>
    </row>
    <row r="9" customFormat="false" ht="15" hidden="false" customHeight="false" outlineLevel="0" collapsed="false">
      <c r="A9" s="9" t="s">
        <v>160</v>
      </c>
      <c r="B9" s="9" t="s">
        <v>161</v>
      </c>
      <c r="C9" s="9" t="s">
        <v>162</v>
      </c>
      <c r="D9" s="9" t="s">
        <v>142</v>
      </c>
      <c r="E9" s="9" t="s">
        <v>163</v>
      </c>
    </row>
    <row r="10" customFormat="false" ht="15" hidden="false" customHeight="false" outlineLevel="0" collapsed="false">
      <c r="A10" s="8" t="s">
        <v>164</v>
      </c>
      <c r="B10" s="8" t="s">
        <v>165</v>
      </c>
      <c r="C10" s="8" t="s">
        <v>166</v>
      </c>
      <c r="D10" s="8" t="s">
        <v>133</v>
      </c>
      <c r="E10" s="8" t="s">
        <v>167</v>
      </c>
    </row>
    <row r="11" customFormat="false" ht="15" hidden="false" customHeight="false" outlineLevel="0" collapsed="false">
      <c r="A11" s="9" t="s">
        <v>168</v>
      </c>
      <c r="B11" s="9" t="s">
        <v>169</v>
      </c>
      <c r="C11" s="9" t="s">
        <v>170</v>
      </c>
      <c r="D11" s="9" t="s">
        <v>142</v>
      </c>
      <c r="E11" s="9" t="s">
        <v>171</v>
      </c>
    </row>
    <row r="12" customFormat="false" ht="15" hidden="false" customHeight="false" outlineLevel="0" collapsed="false">
      <c r="A12" s="8" t="s">
        <v>172</v>
      </c>
      <c r="B12" s="8" t="s">
        <v>173</v>
      </c>
      <c r="C12" s="8" t="s">
        <v>174</v>
      </c>
      <c r="D12" s="8" t="s">
        <v>133</v>
      </c>
      <c r="E12" s="8" t="s">
        <v>175</v>
      </c>
    </row>
    <row r="13" customFormat="false" ht="15" hidden="false" customHeight="false" outlineLevel="0" collapsed="false">
      <c r="A13" s="9" t="s">
        <v>176</v>
      </c>
      <c r="B13" s="9" t="s">
        <v>177</v>
      </c>
      <c r="C13" s="9" t="s">
        <v>178</v>
      </c>
      <c r="D13" s="9" t="s">
        <v>133</v>
      </c>
      <c r="E13" s="9" t="s">
        <v>179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C4DF6"/>
    <pageSetUpPr fitToPage="false"/>
  </sheetPr>
  <dimension ref="A1:D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4"/>
    <col collapsed="false" customWidth="true" hidden="false" outlineLevel="0" max="3" min="3" style="0" width="50"/>
    <col collapsed="false" customWidth="true" hidden="false" outlineLevel="0" max="4" min="4" style="0" width="42"/>
  </cols>
  <sheetData>
    <row r="1" customFormat="false" ht="27.75" hidden="false" customHeight="true" outlineLevel="0" collapsed="false">
      <c r="A1" s="7" t="s">
        <v>180</v>
      </c>
      <c r="B1" s="7" t="s">
        <v>181</v>
      </c>
      <c r="C1" s="7" t="s">
        <v>127</v>
      </c>
      <c r="D1" s="7" t="s">
        <v>182</v>
      </c>
    </row>
    <row r="2" customFormat="false" ht="23.85" hidden="false" customHeight="false" outlineLevel="0" collapsed="false">
      <c r="A2" s="8" t="s">
        <v>183</v>
      </c>
      <c r="B2" s="8" t="s">
        <v>184</v>
      </c>
      <c r="C2" s="8" t="s">
        <v>185</v>
      </c>
      <c r="D2" s="8" t="s">
        <v>186</v>
      </c>
    </row>
    <row r="3" customFormat="false" ht="15" hidden="false" customHeight="false" outlineLevel="0" collapsed="false">
      <c r="A3" s="9" t="s">
        <v>187</v>
      </c>
      <c r="B3" s="9" t="s">
        <v>188</v>
      </c>
      <c r="C3" s="9" t="s">
        <v>189</v>
      </c>
      <c r="D3" s="9" t="s">
        <v>190</v>
      </c>
    </row>
    <row r="4" customFormat="false" ht="15" hidden="false" customHeight="false" outlineLevel="0" collapsed="false">
      <c r="A4" s="8" t="s">
        <v>191</v>
      </c>
      <c r="B4" s="8" t="s">
        <v>192</v>
      </c>
      <c r="C4" s="8" t="s">
        <v>193</v>
      </c>
      <c r="D4" s="8" t="s">
        <v>194</v>
      </c>
    </row>
    <row r="5" customFormat="false" ht="15" hidden="false" customHeight="false" outlineLevel="0" collapsed="false">
      <c r="A5" s="9" t="s">
        <v>195</v>
      </c>
      <c r="B5" s="9" t="s">
        <v>196</v>
      </c>
      <c r="C5" s="9" t="s">
        <v>197</v>
      </c>
      <c r="D5" s="9" t="s">
        <v>198</v>
      </c>
    </row>
    <row r="6" customFormat="false" ht="15" hidden="false" customHeight="false" outlineLevel="0" collapsed="false">
      <c r="A6" s="8" t="s">
        <v>199</v>
      </c>
      <c r="B6" s="8" t="s">
        <v>200</v>
      </c>
      <c r="C6" s="8" t="s">
        <v>201</v>
      </c>
      <c r="D6" s="8" t="s">
        <v>202</v>
      </c>
    </row>
    <row r="7" customFormat="false" ht="15" hidden="false" customHeight="false" outlineLevel="0" collapsed="false">
      <c r="A7" s="9" t="s">
        <v>203</v>
      </c>
      <c r="B7" s="9" t="s">
        <v>204</v>
      </c>
      <c r="C7" s="9" t="s">
        <v>205</v>
      </c>
      <c r="D7" s="9" t="s">
        <v>206</v>
      </c>
    </row>
    <row r="8" customFormat="false" ht="15" hidden="false" customHeight="false" outlineLevel="0" collapsed="false">
      <c r="A8" s="8" t="s">
        <v>207</v>
      </c>
      <c r="B8" s="8" t="s">
        <v>208</v>
      </c>
      <c r="C8" s="8" t="s">
        <v>209</v>
      </c>
      <c r="D8" s="8" t="s">
        <v>210</v>
      </c>
    </row>
    <row r="9" customFormat="false" ht="15" hidden="false" customHeight="false" outlineLevel="0" collapsed="false">
      <c r="A9" s="9" t="s">
        <v>211</v>
      </c>
      <c r="B9" s="9" t="s">
        <v>212</v>
      </c>
      <c r="C9" s="9" t="s">
        <v>213</v>
      </c>
      <c r="D9" s="9" t="s">
        <v>214</v>
      </c>
    </row>
    <row r="10" customFormat="false" ht="15" hidden="false" customHeight="false" outlineLevel="0" collapsed="false">
      <c r="A10" s="8" t="s">
        <v>215</v>
      </c>
      <c r="B10" s="8" t="s">
        <v>216</v>
      </c>
      <c r="C10" s="8" t="s">
        <v>217</v>
      </c>
      <c r="D10" s="8" t="s">
        <v>218</v>
      </c>
    </row>
    <row r="11" customFormat="false" ht="15" hidden="false" customHeight="false" outlineLevel="0" collapsed="false">
      <c r="A11" s="9" t="s">
        <v>219</v>
      </c>
      <c r="B11" s="9" t="s">
        <v>220</v>
      </c>
      <c r="C11" s="9" t="s">
        <v>221</v>
      </c>
      <c r="D11" s="9" t="s">
        <v>222</v>
      </c>
    </row>
    <row r="12" customFormat="false" ht="15" hidden="false" customHeight="false" outlineLevel="0" collapsed="false">
      <c r="A12" s="8" t="s">
        <v>223</v>
      </c>
      <c r="B12" s="8" t="s">
        <v>224</v>
      </c>
      <c r="C12" s="8" t="s">
        <v>225</v>
      </c>
      <c r="D12" s="8" t="s">
        <v>226</v>
      </c>
    </row>
    <row r="13" customFormat="false" ht="23.85" hidden="false" customHeight="false" outlineLevel="0" collapsed="false">
      <c r="A13" s="9" t="s">
        <v>227</v>
      </c>
      <c r="B13" s="9" t="s">
        <v>228</v>
      </c>
      <c r="C13" s="9" t="s">
        <v>229</v>
      </c>
      <c r="D13" s="9" t="s">
        <v>230</v>
      </c>
    </row>
    <row r="14" customFormat="false" ht="15" hidden="false" customHeight="false" outlineLevel="0" collapsed="false">
      <c r="A14" s="8" t="s">
        <v>231</v>
      </c>
      <c r="B14" s="8" t="s">
        <v>232</v>
      </c>
      <c r="C14" s="8" t="s">
        <v>233</v>
      </c>
      <c r="D14" s="8" t="s">
        <v>234</v>
      </c>
    </row>
    <row r="15" customFormat="false" ht="15" hidden="false" customHeight="false" outlineLevel="0" collapsed="false">
      <c r="A15" s="9" t="s">
        <v>235</v>
      </c>
      <c r="B15" s="9" t="s">
        <v>236</v>
      </c>
      <c r="C15" s="9" t="s">
        <v>237</v>
      </c>
      <c r="D15" s="9" t="s">
        <v>238</v>
      </c>
    </row>
    <row r="16" customFormat="false" ht="15" hidden="false" customHeight="false" outlineLevel="0" collapsed="false">
      <c r="A16" s="8" t="s">
        <v>239</v>
      </c>
      <c r="B16" s="8" t="s">
        <v>240</v>
      </c>
      <c r="C16" s="8" t="s">
        <v>241</v>
      </c>
      <c r="D16" s="8" t="s">
        <v>242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E3F"/>
    <pageSetUpPr fitToPage="false"/>
  </sheetPr>
  <dimension ref="A1:I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8"/>
    <col collapsed="false" customWidth="true" hidden="false" outlineLevel="0" max="5" min="5" style="0" width="28"/>
    <col collapsed="false" customWidth="true" hidden="false" outlineLevel="0" max="6" min="6" style="0" width="14"/>
    <col collapsed="false" customWidth="true" hidden="false" outlineLevel="0" max="7" min="7" style="0" width="44"/>
    <col collapsed="false" customWidth="true" hidden="false" outlineLevel="0" max="8" min="8" style="0" width="60"/>
    <col collapsed="false" customWidth="true" hidden="false" outlineLevel="0" max="9" min="9" style="0" width="32"/>
  </cols>
  <sheetData>
    <row r="1" customFormat="false" ht="27.75" hidden="false" customHeight="true" outlineLevel="0" collapsed="false">
      <c r="A1" s="7" t="s">
        <v>243</v>
      </c>
      <c r="B1" s="7" t="s">
        <v>244</v>
      </c>
      <c r="C1" s="7" t="s">
        <v>245</v>
      </c>
      <c r="D1" s="7" t="s">
        <v>246</v>
      </c>
      <c r="E1" s="7" t="s">
        <v>247</v>
      </c>
      <c r="F1" s="7" t="s">
        <v>248</v>
      </c>
      <c r="G1" s="7" t="s">
        <v>249</v>
      </c>
      <c r="H1" s="7" t="s">
        <v>250</v>
      </c>
      <c r="I1" s="7" t="s">
        <v>251</v>
      </c>
    </row>
    <row r="2" customFormat="false" ht="23.85" hidden="false" customHeight="false" outlineLevel="0" collapsed="false">
      <c r="A2" s="8" t="s">
        <v>252</v>
      </c>
      <c r="B2" s="8" t="s">
        <v>253</v>
      </c>
      <c r="C2" s="8" t="s">
        <v>254</v>
      </c>
      <c r="D2" s="8" t="n">
        <v>2019</v>
      </c>
      <c r="E2" s="8" t="s">
        <v>255</v>
      </c>
      <c r="F2" s="8" t="s">
        <v>256</v>
      </c>
      <c r="G2" s="8" t="s">
        <v>257</v>
      </c>
      <c r="H2" s="8" t="s">
        <v>258</v>
      </c>
      <c r="I2" s="8" t="s">
        <v>259</v>
      </c>
    </row>
    <row r="3" customFormat="false" ht="35.05" hidden="false" customHeight="false" outlineLevel="0" collapsed="false">
      <c r="A3" s="9" t="s">
        <v>260</v>
      </c>
      <c r="B3" s="9" t="s">
        <v>261</v>
      </c>
      <c r="C3" s="9" t="s">
        <v>254</v>
      </c>
      <c r="D3" s="9" t="n">
        <v>2016</v>
      </c>
      <c r="E3" s="9" t="s">
        <v>262</v>
      </c>
      <c r="F3" s="9" t="s">
        <v>256</v>
      </c>
      <c r="G3" s="9" t="s">
        <v>263</v>
      </c>
      <c r="H3" s="9" t="s">
        <v>264</v>
      </c>
      <c r="I3" s="9" t="s">
        <v>265</v>
      </c>
    </row>
    <row r="4" customFormat="false" ht="23.85" hidden="false" customHeight="false" outlineLevel="0" collapsed="false">
      <c r="A4" s="8" t="s">
        <v>266</v>
      </c>
      <c r="B4" s="8" t="s">
        <v>267</v>
      </c>
      <c r="C4" s="8" t="s">
        <v>254</v>
      </c>
      <c r="D4" s="8" t="n">
        <v>2016</v>
      </c>
      <c r="E4" s="8" t="s">
        <v>268</v>
      </c>
      <c r="F4" s="8" t="s">
        <v>269</v>
      </c>
      <c r="G4" s="8" t="s">
        <v>270</v>
      </c>
      <c r="H4" s="8" t="s">
        <v>271</v>
      </c>
      <c r="I4" s="8" t="s">
        <v>272</v>
      </c>
    </row>
    <row r="5" customFormat="false" ht="23.85" hidden="false" customHeight="false" outlineLevel="0" collapsed="false">
      <c r="A5" s="9" t="s">
        <v>273</v>
      </c>
      <c r="B5" s="9" t="s">
        <v>274</v>
      </c>
      <c r="C5" s="9" t="s">
        <v>254</v>
      </c>
      <c r="D5" s="9" t="n">
        <v>2006</v>
      </c>
      <c r="E5" s="9" t="s">
        <v>268</v>
      </c>
      <c r="F5" s="9" t="s">
        <v>256</v>
      </c>
      <c r="G5" s="9" t="s">
        <v>275</v>
      </c>
      <c r="H5" s="9" t="s">
        <v>276</v>
      </c>
      <c r="I5" s="9" t="s">
        <v>277</v>
      </c>
    </row>
    <row r="6" customFormat="false" ht="23.85" hidden="false" customHeight="false" outlineLevel="0" collapsed="false">
      <c r="A6" s="8" t="s">
        <v>278</v>
      </c>
      <c r="B6" s="8" t="s">
        <v>279</v>
      </c>
      <c r="C6" s="8" t="s">
        <v>254</v>
      </c>
      <c r="D6" s="8" t="n">
        <v>2013</v>
      </c>
      <c r="E6" s="8" t="s">
        <v>268</v>
      </c>
      <c r="F6" s="8" t="s">
        <v>269</v>
      </c>
      <c r="G6" s="8" t="s">
        <v>280</v>
      </c>
      <c r="H6" s="8" t="s">
        <v>281</v>
      </c>
      <c r="I6" s="8" t="s">
        <v>282</v>
      </c>
    </row>
    <row r="7" customFormat="false" ht="23.85" hidden="false" customHeight="false" outlineLevel="0" collapsed="false">
      <c r="A7" s="9" t="s">
        <v>283</v>
      </c>
      <c r="B7" s="9" t="s">
        <v>284</v>
      </c>
      <c r="C7" s="9" t="s">
        <v>285</v>
      </c>
      <c r="D7" s="9" t="n">
        <v>2018</v>
      </c>
      <c r="E7" s="9" t="s">
        <v>286</v>
      </c>
      <c r="F7" s="9" t="s">
        <v>287</v>
      </c>
      <c r="G7" s="9" t="s">
        <v>288</v>
      </c>
      <c r="H7" s="9" t="s">
        <v>289</v>
      </c>
      <c r="I7" s="9" t="s">
        <v>290</v>
      </c>
    </row>
    <row r="8" customFormat="false" ht="23.85" hidden="false" customHeight="false" outlineLevel="0" collapsed="false">
      <c r="A8" s="8" t="s">
        <v>291</v>
      </c>
      <c r="B8" s="8" t="s">
        <v>292</v>
      </c>
      <c r="C8" s="8" t="s">
        <v>293</v>
      </c>
      <c r="D8" s="8" t="n">
        <v>2010</v>
      </c>
      <c r="E8" s="8" t="s">
        <v>294</v>
      </c>
      <c r="F8" s="8" t="s">
        <v>287</v>
      </c>
      <c r="G8" s="8" t="s">
        <v>295</v>
      </c>
      <c r="H8" s="8" t="s">
        <v>296</v>
      </c>
      <c r="I8" s="8" t="s">
        <v>297</v>
      </c>
    </row>
    <row r="9" customFormat="false" ht="23.85" hidden="false" customHeight="false" outlineLevel="0" collapsed="false">
      <c r="A9" s="9" t="s">
        <v>298</v>
      </c>
      <c r="B9" s="9" t="s">
        <v>299</v>
      </c>
      <c r="C9" s="9" t="s">
        <v>300</v>
      </c>
      <c r="D9" s="9" t="n">
        <v>1989</v>
      </c>
      <c r="E9" s="9" t="s">
        <v>301</v>
      </c>
      <c r="F9" s="9" t="s">
        <v>256</v>
      </c>
      <c r="G9" s="9" t="s">
        <v>302</v>
      </c>
      <c r="H9" s="9" t="s">
        <v>303</v>
      </c>
      <c r="I9" s="9" t="s">
        <v>304</v>
      </c>
    </row>
    <row r="10" customFormat="false" ht="23.85" hidden="false" customHeight="false" outlineLevel="0" collapsed="false">
      <c r="A10" s="8" t="s">
        <v>305</v>
      </c>
      <c r="B10" s="8" t="s">
        <v>306</v>
      </c>
      <c r="C10" s="8" t="s">
        <v>254</v>
      </c>
      <c r="D10" s="8" t="n">
        <v>2014</v>
      </c>
      <c r="E10" s="8" t="s">
        <v>268</v>
      </c>
      <c r="F10" s="8" t="s">
        <v>269</v>
      </c>
      <c r="G10" s="8" t="s">
        <v>307</v>
      </c>
      <c r="H10" s="8" t="s">
        <v>308</v>
      </c>
      <c r="I10" s="8" t="s">
        <v>259</v>
      </c>
    </row>
    <row r="11" customFormat="false" ht="23.85" hidden="false" customHeight="false" outlineLevel="0" collapsed="false">
      <c r="A11" s="9" t="s">
        <v>309</v>
      </c>
      <c r="B11" s="9" t="s">
        <v>310</v>
      </c>
      <c r="C11" s="9" t="s">
        <v>311</v>
      </c>
      <c r="D11" s="9" t="n">
        <v>2007</v>
      </c>
      <c r="E11" s="9" t="s">
        <v>268</v>
      </c>
      <c r="F11" s="9" t="s">
        <v>256</v>
      </c>
      <c r="G11" s="9" t="s">
        <v>312</v>
      </c>
      <c r="H11" s="9" t="s">
        <v>313</v>
      </c>
      <c r="I11" s="9" t="s">
        <v>314</v>
      </c>
    </row>
    <row r="12" customFormat="false" ht="23.85" hidden="false" customHeight="false" outlineLevel="0" collapsed="false">
      <c r="A12" s="8" t="s">
        <v>315</v>
      </c>
      <c r="B12" s="8" t="s">
        <v>316</v>
      </c>
      <c r="C12" s="8" t="s">
        <v>254</v>
      </c>
      <c r="D12" s="8" t="n">
        <v>2023</v>
      </c>
      <c r="E12" s="8" t="s">
        <v>294</v>
      </c>
      <c r="F12" s="8" t="s">
        <v>269</v>
      </c>
      <c r="G12" s="8" t="s">
        <v>317</v>
      </c>
      <c r="H12" s="8" t="s">
        <v>318</v>
      </c>
      <c r="I12" s="8" t="s">
        <v>319</v>
      </c>
    </row>
    <row r="13" customFormat="false" ht="23.85" hidden="false" customHeight="false" outlineLevel="0" collapsed="false">
      <c r="A13" s="9" t="s">
        <v>320</v>
      </c>
      <c r="B13" s="9" t="s">
        <v>321</v>
      </c>
      <c r="C13" s="9" t="s">
        <v>254</v>
      </c>
      <c r="D13" s="9" t="n">
        <v>2018</v>
      </c>
      <c r="E13" s="9" t="s">
        <v>294</v>
      </c>
      <c r="F13" s="9" t="s">
        <v>322</v>
      </c>
      <c r="G13" s="9" t="s">
        <v>323</v>
      </c>
      <c r="H13" s="9" t="s">
        <v>324</v>
      </c>
      <c r="I13" s="9" t="s">
        <v>319</v>
      </c>
    </row>
    <row r="14" customFormat="false" ht="23.85" hidden="false" customHeight="false" outlineLevel="0" collapsed="false">
      <c r="A14" s="8" t="s">
        <v>325</v>
      </c>
      <c r="B14" s="8" t="s">
        <v>326</v>
      </c>
      <c r="C14" s="8" t="s">
        <v>254</v>
      </c>
      <c r="D14" s="8" t="n">
        <v>2016</v>
      </c>
      <c r="E14" s="8" t="s">
        <v>268</v>
      </c>
      <c r="F14" s="8" t="s">
        <v>269</v>
      </c>
      <c r="G14" s="8" t="s">
        <v>327</v>
      </c>
      <c r="H14" s="8" t="s">
        <v>328</v>
      </c>
      <c r="I14" s="8" t="s">
        <v>259</v>
      </c>
    </row>
    <row r="15" customFormat="false" ht="23.85" hidden="false" customHeight="false" outlineLevel="0" collapsed="false">
      <c r="A15" s="9" t="s">
        <v>329</v>
      </c>
      <c r="B15" s="9" t="s">
        <v>330</v>
      </c>
      <c r="C15" s="9" t="s">
        <v>331</v>
      </c>
      <c r="D15" s="9" t="n">
        <v>2011</v>
      </c>
      <c r="E15" s="9" t="s">
        <v>268</v>
      </c>
      <c r="F15" s="9" t="s">
        <v>256</v>
      </c>
      <c r="G15" s="9" t="s">
        <v>332</v>
      </c>
      <c r="H15" s="9" t="s">
        <v>333</v>
      </c>
      <c r="I15" s="9" t="s">
        <v>334</v>
      </c>
    </row>
    <row r="16" customFormat="false" ht="23.85" hidden="false" customHeight="false" outlineLevel="0" collapsed="false">
      <c r="A16" s="8" t="s">
        <v>335</v>
      </c>
      <c r="B16" s="8" t="s">
        <v>336</v>
      </c>
      <c r="C16" s="8" t="s">
        <v>254</v>
      </c>
      <c r="D16" s="8" t="n">
        <v>2017</v>
      </c>
      <c r="E16" s="8" t="s">
        <v>294</v>
      </c>
      <c r="F16" s="8" t="s">
        <v>337</v>
      </c>
      <c r="G16" s="8" t="s">
        <v>338</v>
      </c>
      <c r="H16" s="8" t="s">
        <v>339</v>
      </c>
      <c r="I16" s="8" t="s">
        <v>340</v>
      </c>
    </row>
    <row r="17" customFormat="false" ht="23.85" hidden="false" customHeight="false" outlineLevel="0" collapsed="false">
      <c r="A17" s="9" t="s">
        <v>341</v>
      </c>
      <c r="B17" s="9" t="s">
        <v>342</v>
      </c>
      <c r="C17" s="9" t="s">
        <v>254</v>
      </c>
      <c r="D17" s="9" t="n">
        <v>2005</v>
      </c>
      <c r="E17" s="9" t="s">
        <v>268</v>
      </c>
      <c r="F17" s="9" t="s">
        <v>256</v>
      </c>
      <c r="G17" s="9" t="s">
        <v>343</v>
      </c>
      <c r="H17" s="9" t="s">
        <v>344</v>
      </c>
      <c r="I17" s="9" t="s">
        <v>319</v>
      </c>
    </row>
    <row r="18" customFormat="false" ht="23.85" hidden="false" customHeight="false" outlineLevel="0" collapsed="false">
      <c r="A18" s="8" t="s">
        <v>345</v>
      </c>
      <c r="B18" s="8" t="s">
        <v>346</v>
      </c>
      <c r="C18" s="8" t="s">
        <v>254</v>
      </c>
      <c r="D18" s="8" t="n">
        <v>1998</v>
      </c>
      <c r="E18" s="8" t="s">
        <v>347</v>
      </c>
      <c r="F18" s="8" t="s">
        <v>269</v>
      </c>
      <c r="G18" s="8" t="s">
        <v>348</v>
      </c>
      <c r="H18" s="8" t="s">
        <v>349</v>
      </c>
      <c r="I18" s="8" t="s">
        <v>350</v>
      </c>
    </row>
    <row r="19" customFormat="false" ht="23.85" hidden="false" customHeight="false" outlineLevel="0" collapsed="false">
      <c r="A19" s="9" t="s">
        <v>351</v>
      </c>
      <c r="B19" s="9" t="s">
        <v>352</v>
      </c>
      <c r="C19" s="9" t="s">
        <v>353</v>
      </c>
      <c r="D19" s="9" t="n">
        <v>2016</v>
      </c>
      <c r="E19" s="9" t="s">
        <v>294</v>
      </c>
      <c r="F19" s="9" t="s">
        <v>256</v>
      </c>
      <c r="G19" s="9" t="s">
        <v>354</v>
      </c>
      <c r="H19" s="9" t="s">
        <v>355</v>
      </c>
      <c r="I19" s="9" t="s">
        <v>319</v>
      </c>
    </row>
    <row r="20" customFormat="false" ht="23.85" hidden="false" customHeight="false" outlineLevel="0" collapsed="false">
      <c r="A20" s="8" t="s">
        <v>356</v>
      </c>
      <c r="B20" s="8" t="s">
        <v>357</v>
      </c>
      <c r="C20" s="8" t="s">
        <v>254</v>
      </c>
      <c r="D20" s="8" t="n">
        <v>2012</v>
      </c>
      <c r="E20" s="8" t="s">
        <v>268</v>
      </c>
      <c r="F20" s="8" t="s">
        <v>269</v>
      </c>
      <c r="G20" s="8" t="s">
        <v>358</v>
      </c>
      <c r="H20" s="8" t="s">
        <v>359</v>
      </c>
      <c r="I20" s="8" t="s">
        <v>319</v>
      </c>
    </row>
    <row r="21" customFormat="false" ht="15" hidden="false" customHeight="false" outlineLevel="0" collapsed="false">
      <c r="A21" s="9" t="s">
        <v>360</v>
      </c>
      <c r="B21" s="9" t="s">
        <v>361</v>
      </c>
      <c r="C21" s="9" t="s">
        <v>254</v>
      </c>
      <c r="D21" s="9" t="n">
        <v>1994</v>
      </c>
      <c r="E21" s="9" t="s">
        <v>268</v>
      </c>
      <c r="F21" s="9" t="s">
        <v>256</v>
      </c>
      <c r="G21" s="9" t="s">
        <v>362</v>
      </c>
      <c r="H21" s="9" t="s">
        <v>363</v>
      </c>
      <c r="I21" s="9" t="s">
        <v>364</v>
      </c>
    </row>
    <row r="22" customFormat="false" ht="23.85" hidden="false" customHeight="false" outlineLevel="0" collapsed="false">
      <c r="A22" s="8" t="s">
        <v>365</v>
      </c>
      <c r="B22" s="8" t="s">
        <v>366</v>
      </c>
      <c r="C22" s="8" t="s">
        <v>311</v>
      </c>
      <c r="D22" s="8" t="n">
        <v>1998</v>
      </c>
      <c r="E22" s="8" t="s">
        <v>367</v>
      </c>
      <c r="F22" s="8" t="s">
        <v>256</v>
      </c>
      <c r="G22" s="8" t="s">
        <v>368</v>
      </c>
      <c r="H22" s="8" t="s">
        <v>369</v>
      </c>
      <c r="I22" s="8" t="s">
        <v>314</v>
      </c>
    </row>
    <row r="23" customFormat="false" ht="23.85" hidden="false" customHeight="false" outlineLevel="0" collapsed="false">
      <c r="A23" s="9" t="s">
        <v>370</v>
      </c>
      <c r="B23" s="9" t="s">
        <v>371</v>
      </c>
      <c r="C23" s="9" t="s">
        <v>372</v>
      </c>
      <c r="D23" s="9" t="n">
        <v>2021</v>
      </c>
      <c r="E23" s="9" t="s">
        <v>268</v>
      </c>
      <c r="F23" s="9" t="s">
        <v>256</v>
      </c>
      <c r="G23" s="9" t="s">
        <v>373</v>
      </c>
      <c r="H23" s="9" t="s">
        <v>374</v>
      </c>
      <c r="I23" s="9" t="s">
        <v>375</v>
      </c>
    </row>
    <row r="24" customFormat="false" ht="23.85" hidden="false" customHeight="false" outlineLevel="0" collapsed="false">
      <c r="A24" s="8" t="s">
        <v>376</v>
      </c>
      <c r="B24" s="8" t="s">
        <v>377</v>
      </c>
      <c r="C24" s="8" t="s">
        <v>293</v>
      </c>
      <c r="D24" s="8" t="n">
        <v>2020</v>
      </c>
      <c r="E24" s="8" t="s">
        <v>294</v>
      </c>
      <c r="F24" s="8" t="s">
        <v>287</v>
      </c>
      <c r="G24" s="8" t="s">
        <v>378</v>
      </c>
      <c r="H24" s="8" t="s">
        <v>379</v>
      </c>
      <c r="I24" s="8" t="s">
        <v>380</v>
      </c>
    </row>
    <row r="25" customFormat="false" ht="23.85" hidden="false" customHeight="false" outlineLevel="0" collapsed="false">
      <c r="A25" s="9" t="s">
        <v>381</v>
      </c>
      <c r="B25" s="9" t="s">
        <v>382</v>
      </c>
      <c r="C25" s="9" t="s">
        <v>383</v>
      </c>
      <c r="D25" s="9" t="n">
        <v>2018</v>
      </c>
      <c r="E25" s="9" t="s">
        <v>294</v>
      </c>
      <c r="F25" s="9" t="s">
        <v>287</v>
      </c>
      <c r="G25" s="9" t="s">
        <v>384</v>
      </c>
      <c r="H25" s="9" t="s">
        <v>385</v>
      </c>
      <c r="I25" s="9" t="s">
        <v>386</v>
      </c>
    </row>
    <row r="26" customFormat="false" ht="23.85" hidden="false" customHeight="false" outlineLevel="0" collapsed="false">
      <c r="A26" s="8" t="s">
        <v>387</v>
      </c>
      <c r="B26" s="8" t="s">
        <v>388</v>
      </c>
      <c r="C26" s="8" t="s">
        <v>254</v>
      </c>
      <c r="D26" s="8" t="n">
        <v>1997</v>
      </c>
      <c r="E26" s="8" t="s">
        <v>294</v>
      </c>
      <c r="F26" s="8" t="s">
        <v>269</v>
      </c>
      <c r="G26" s="8" t="s">
        <v>389</v>
      </c>
      <c r="H26" s="8" t="s">
        <v>390</v>
      </c>
      <c r="I26" s="8" t="s">
        <v>259</v>
      </c>
    </row>
    <row r="27" customFormat="false" ht="23.85" hidden="false" customHeight="false" outlineLevel="0" collapsed="false">
      <c r="A27" s="9" t="s">
        <v>391</v>
      </c>
      <c r="B27" s="9" t="s">
        <v>392</v>
      </c>
      <c r="C27" s="9" t="s">
        <v>254</v>
      </c>
      <c r="D27" s="9" t="n">
        <v>1999</v>
      </c>
      <c r="E27" s="9" t="s">
        <v>393</v>
      </c>
      <c r="F27" s="9" t="s">
        <v>269</v>
      </c>
      <c r="G27" s="9" t="s">
        <v>394</v>
      </c>
      <c r="H27" s="9" t="s">
        <v>395</v>
      </c>
      <c r="I27" s="9" t="s">
        <v>259</v>
      </c>
    </row>
    <row r="28" customFormat="false" ht="23.85" hidden="false" customHeight="false" outlineLevel="0" collapsed="false">
      <c r="A28" s="8" t="s">
        <v>396</v>
      </c>
      <c r="B28" s="8" t="s">
        <v>397</v>
      </c>
      <c r="C28" s="8" t="s">
        <v>254</v>
      </c>
      <c r="D28" s="8" t="n">
        <v>2003</v>
      </c>
      <c r="E28" s="8" t="s">
        <v>268</v>
      </c>
      <c r="F28" s="8" t="s">
        <v>269</v>
      </c>
      <c r="G28" s="8" t="s">
        <v>398</v>
      </c>
      <c r="H28" s="8" t="s">
        <v>399</v>
      </c>
      <c r="I28" s="8" t="s">
        <v>364</v>
      </c>
    </row>
    <row r="29" customFormat="false" ht="23.85" hidden="false" customHeight="false" outlineLevel="0" collapsed="false">
      <c r="A29" s="9" t="s">
        <v>400</v>
      </c>
      <c r="B29" s="9" t="s">
        <v>401</v>
      </c>
      <c r="C29" s="9" t="s">
        <v>254</v>
      </c>
      <c r="D29" s="9" t="n">
        <v>2011</v>
      </c>
      <c r="E29" s="9" t="s">
        <v>268</v>
      </c>
      <c r="F29" s="9" t="s">
        <v>256</v>
      </c>
      <c r="G29" s="9" t="s">
        <v>402</v>
      </c>
      <c r="H29" s="9" t="s">
        <v>403</v>
      </c>
      <c r="I29" s="9" t="s">
        <v>404</v>
      </c>
    </row>
    <row r="30" customFormat="false" ht="23.85" hidden="false" customHeight="false" outlineLevel="0" collapsed="false">
      <c r="A30" s="8" t="s">
        <v>405</v>
      </c>
      <c r="B30" s="8" t="s">
        <v>406</v>
      </c>
      <c r="C30" s="8" t="s">
        <v>254</v>
      </c>
      <c r="D30" s="8" t="n">
        <v>1995</v>
      </c>
      <c r="E30" s="8" t="s">
        <v>407</v>
      </c>
      <c r="F30" s="8" t="s">
        <v>256</v>
      </c>
      <c r="G30" s="8" t="s">
        <v>408</v>
      </c>
      <c r="H30" s="8" t="s">
        <v>409</v>
      </c>
      <c r="I30" s="8" t="s">
        <v>272</v>
      </c>
    </row>
    <row r="31" customFormat="false" ht="23.85" hidden="false" customHeight="false" outlineLevel="0" collapsed="false">
      <c r="A31" s="9" t="s">
        <v>410</v>
      </c>
      <c r="B31" s="9" t="s">
        <v>411</v>
      </c>
      <c r="C31" s="9" t="s">
        <v>353</v>
      </c>
      <c r="D31" s="9" t="n">
        <v>2018</v>
      </c>
      <c r="E31" s="9" t="s">
        <v>268</v>
      </c>
      <c r="F31" s="9" t="s">
        <v>412</v>
      </c>
      <c r="G31" s="9" t="s">
        <v>413</v>
      </c>
      <c r="H31" s="9" t="s">
        <v>414</v>
      </c>
      <c r="I31" s="9" t="s">
        <v>364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E3F"/>
    <pageSetUpPr fitToPage="false"/>
  </sheetPr>
  <dimension ref="A1:K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9"/>
    <col collapsed="false" customWidth="true" hidden="false" outlineLevel="0" max="3" min="3" style="0" width="26"/>
    <col collapsed="false" customWidth="true" hidden="false" outlineLevel="0" max="4" min="4" style="0" width="10"/>
    <col collapsed="false" customWidth="true" hidden="false" outlineLevel="0" max="5" min="5" style="0" width="22"/>
    <col collapsed="false" customWidth="true" hidden="false" outlineLevel="0" max="6" min="6" style="0" width="12"/>
    <col collapsed="false" customWidth="true" hidden="false" outlineLevel="0" max="7" min="7" style="0" width="58"/>
    <col collapsed="false" customWidth="true" hidden="false" outlineLevel="0" max="9" min="8" style="0" width="12"/>
    <col collapsed="false" customWidth="true" hidden="false" outlineLevel="0" max="11" min="10" style="0" width="14"/>
  </cols>
  <sheetData>
    <row r="1" customFormat="false" ht="27.75" hidden="false" customHeight="true" outlineLevel="0" collapsed="false">
      <c r="A1" s="7" t="s">
        <v>415</v>
      </c>
      <c r="B1" s="7" t="s">
        <v>243</v>
      </c>
      <c r="C1" s="7" t="s">
        <v>244</v>
      </c>
      <c r="D1" s="7" t="s">
        <v>45</v>
      </c>
      <c r="E1" s="7" t="s">
        <v>46</v>
      </c>
      <c r="F1" s="7" t="s">
        <v>416</v>
      </c>
      <c r="G1" s="7" t="s">
        <v>417</v>
      </c>
      <c r="H1" s="7" t="s">
        <v>418</v>
      </c>
      <c r="I1" s="7" t="s">
        <v>247</v>
      </c>
      <c r="J1" s="7" t="s">
        <v>419</v>
      </c>
      <c r="K1" s="7" t="s">
        <v>420</v>
      </c>
    </row>
    <row r="2" customFormat="false" ht="23.85" hidden="false" customHeight="false" outlineLevel="0" collapsed="false">
      <c r="A2" s="8" t="s">
        <v>421</v>
      </c>
      <c r="B2" s="8" t="s">
        <v>252</v>
      </c>
      <c r="C2" s="8" t="s">
        <v>253</v>
      </c>
      <c r="D2" s="8" t="s">
        <v>62</v>
      </c>
      <c r="E2" s="8" t="s">
        <v>63</v>
      </c>
      <c r="F2" s="8" t="n">
        <v>5</v>
      </c>
      <c r="G2" s="8" t="s">
        <v>422</v>
      </c>
      <c r="H2" s="8" t="s">
        <v>423</v>
      </c>
      <c r="I2" s="8" t="s">
        <v>424</v>
      </c>
      <c r="J2" s="8" t="s">
        <v>425</v>
      </c>
      <c r="K2" s="8"/>
    </row>
    <row r="3" customFormat="false" ht="23.85" hidden="false" customHeight="false" outlineLevel="0" collapsed="false">
      <c r="A3" s="9" t="s">
        <v>426</v>
      </c>
      <c r="B3" s="9" t="s">
        <v>252</v>
      </c>
      <c r="C3" s="9" t="s">
        <v>253</v>
      </c>
      <c r="D3" s="9" t="s">
        <v>67</v>
      </c>
      <c r="E3" s="9" t="s">
        <v>68</v>
      </c>
      <c r="F3" s="9" t="n">
        <v>5</v>
      </c>
      <c r="G3" s="9" t="s">
        <v>427</v>
      </c>
      <c r="H3" s="9" t="s">
        <v>423</v>
      </c>
      <c r="I3" s="9" t="s">
        <v>424</v>
      </c>
      <c r="J3" s="9" t="s">
        <v>425</v>
      </c>
      <c r="K3" s="9"/>
    </row>
    <row r="4" customFormat="false" ht="23.85" hidden="false" customHeight="false" outlineLevel="0" collapsed="false">
      <c r="A4" s="8" t="s">
        <v>428</v>
      </c>
      <c r="B4" s="8" t="s">
        <v>252</v>
      </c>
      <c r="C4" s="8" t="s">
        <v>253</v>
      </c>
      <c r="D4" s="8" t="s">
        <v>113</v>
      </c>
      <c r="E4" s="8" t="s">
        <v>114</v>
      </c>
      <c r="F4" s="8" t="n">
        <v>5</v>
      </c>
      <c r="G4" s="8" t="s">
        <v>429</v>
      </c>
      <c r="H4" s="8" t="s">
        <v>423</v>
      </c>
      <c r="I4" s="8" t="s">
        <v>424</v>
      </c>
      <c r="J4" s="8" t="s">
        <v>425</v>
      </c>
      <c r="K4" s="8"/>
    </row>
    <row r="5" customFormat="false" ht="23.85" hidden="false" customHeight="false" outlineLevel="0" collapsed="false">
      <c r="A5" s="9" t="s">
        <v>430</v>
      </c>
      <c r="B5" s="9" t="s">
        <v>252</v>
      </c>
      <c r="C5" s="9" t="s">
        <v>253</v>
      </c>
      <c r="D5" s="9" t="s">
        <v>103</v>
      </c>
      <c r="E5" s="9" t="s">
        <v>104</v>
      </c>
      <c r="F5" s="9" t="n">
        <v>4</v>
      </c>
      <c r="G5" s="9" t="s">
        <v>431</v>
      </c>
      <c r="H5" s="9" t="s">
        <v>423</v>
      </c>
      <c r="I5" s="9" t="s">
        <v>424</v>
      </c>
      <c r="J5" s="9" t="s">
        <v>425</v>
      </c>
      <c r="K5" s="9"/>
    </row>
    <row r="6" customFormat="false" ht="23.85" hidden="false" customHeight="false" outlineLevel="0" collapsed="false">
      <c r="A6" s="8" t="s">
        <v>432</v>
      </c>
      <c r="B6" s="8" t="s">
        <v>260</v>
      </c>
      <c r="C6" s="8" t="s">
        <v>261</v>
      </c>
      <c r="D6" s="8" t="s">
        <v>51</v>
      </c>
      <c r="E6" s="8" t="s">
        <v>52</v>
      </c>
      <c r="F6" s="8" t="n">
        <v>5</v>
      </c>
      <c r="G6" s="8" t="s">
        <v>433</v>
      </c>
      <c r="H6" s="8" t="s">
        <v>423</v>
      </c>
      <c r="I6" s="8" t="s">
        <v>424</v>
      </c>
      <c r="J6" s="8" t="s">
        <v>425</v>
      </c>
      <c r="K6" s="8"/>
    </row>
    <row r="7" customFormat="false" ht="23.85" hidden="false" customHeight="false" outlineLevel="0" collapsed="false">
      <c r="A7" s="9" t="s">
        <v>434</v>
      </c>
      <c r="B7" s="9" t="s">
        <v>260</v>
      </c>
      <c r="C7" s="9" t="s">
        <v>261</v>
      </c>
      <c r="D7" s="9" t="s">
        <v>57</v>
      </c>
      <c r="E7" s="9" t="s">
        <v>58</v>
      </c>
      <c r="F7" s="9" t="n">
        <v>5</v>
      </c>
      <c r="G7" s="9" t="s">
        <v>435</v>
      </c>
      <c r="H7" s="9" t="s">
        <v>423</v>
      </c>
      <c r="I7" s="9" t="s">
        <v>424</v>
      </c>
      <c r="J7" s="9" t="s">
        <v>425</v>
      </c>
      <c r="K7" s="9"/>
    </row>
    <row r="8" customFormat="false" ht="23.85" hidden="false" customHeight="false" outlineLevel="0" collapsed="false">
      <c r="A8" s="8" t="s">
        <v>436</v>
      </c>
      <c r="B8" s="8" t="s">
        <v>260</v>
      </c>
      <c r="C8" s="8" t="s">
        <v>261</v>
      </c>
      <c r="D8" s="8" t="s">
        <v>107</v>
      </c>
      <c r="E8" s="8" t="s">
        <v>108</v>
      </c>
      <c r="F8" s="8" t="n">
        <v>4</v>
      </c>
      <c r="G8" s="8" t="s">
        <v>437</v>
      </c>
      <c r="H8" s="8" t="s">
        <v>423</v>
      </c>
      <c r="I8" s="8" t="s">
        <v>424</v>
      </c>
      <c r="J8" s="8" t="s">
        <v>425</v>
      </c>
      <c r="K8" s="8"/>
    </row>
    <row r="9" customFormat="false" ht="23.85" hidden="false" customHeight="false" outlineLevel="0" collapsed="false">
      <c r="A9" s="9" t="s">
        <v>438</v>
      </c>
      <c r="B9" s="9" t="s">
        <v>260</v>
      </c>
      <c r="C9" s="9" t="s">
        <v>261</v>
      </c>
      <c r="D9" s="9" t="s">
        <v>88</v>
      </c>
      <c r="E9" s="9" t="s">
        <v>89</v>
      </c>
      <c r="F9" s="9" t="n">
        <v>4</v>
      </c>
      <c r="G9" s="9" t="s">
        <v>439</v>
      </c>
      <c r="H9" s="9" t="s">
        <v>423</v>
      </c>
      <c r="I9" s="9" t="s">
        <v>424</v>
      </c>
      <c r="J9" s="9" t="s">
        <v>425</v>
      </c>
      <c r="K9" s="9"/>
    </row>
    <row r="10" customFormat="false" ht="23.85" hidden="false" customHeight="false" outlineLevel="0" collapsed="false">
      <c r="A10" s="8" t="s">
        <v>440</v>
      </c>
      <c r="B10" s="8" t="s">
        <v>266</v>
      </c>
      <c r="C10" s="8" t="s">
        <v>267</v>
      </c>
      <c r="D10" s="8" t="s">
        <v>67</v>
      </c>
      <c r="E10" s="8" t="s">
        <v>68</v>
      </c>
      <c r="F10" s="8" t="n">
        <v>5</v>
      </c>
      <c r="G10" s="8" t="s">
        <v>441</v>
      </c>
      <c r="H10" s="8" t="s">
        <v>423</v>
      </c>
      <c r="I10" s="8" t="s">
        <v>424</v>
      </c>
      <c r="J10" s="8" t="s">
        <v>425</v>
      </c>
      <c r="K10" s="8"/>
    </row>
    <row r="11" customFormat="false" ht="23.85" hidden="false" customHeight="false" outlineLevel="0" collapsed="false">
      <c r="A11" s="9" t="s">
        <v>442</v>
      </c>
      <c r="B11" s="9" t="s">
        <v>266</v>
      </c>
      <c r="C11" s="9" t="s">
        <v>267</v>
      </c>
      <c r="D11" s="9" t="s">
        <v>51</v>
      </c>
      <c r="E11" s="9" t="s">
        <v>52</v>
      </c>
      <c r="F11" s="9" t="n">
        <v>4</v>
      </c>
      <c r="G11" s="9" t="s">
        <v>443</v>
      </c>
      <c r="H11" s="9" t="s">
        <v>423</v>
      </c>
      <c r="I11" s="9" t="s">
        <v>424</v>
      </c>
      <c r="J11" s="9" t="s">
        <v>425</v>
      </c>
      <c r="K11" s="9"/>
    </row>
    <row r="12" customFormat="false" ht="23.85" hidden="false" customHeight="false" outlineLevel="0" collapsed="false">
      <c r="A12" s="8" t="s">
        <v>444</v>
      </c>
      <c r="B12" s="8" t="s">
        <v>266</v>
      </c>
      <c r="C12" s="8" t="s">
        <v>267</v>
      </c>
      <c r="D12" s="8" t="s">
        <v>57</v>
      </c>
      <c r="E12" s="8" t="s">
        <v>58</v>
      </c>
      <c r="F12" s="8" t="n">
        <v>4</v>
      </c>
      <c r="G12" s="8" t="s">
        <v>445</v>
      </c>
      <c r="H12" s="8" t="s">
        <v>423</v>
      </c>
      <c r="I12" s="8" t="s">
        <v>424</v>
      </c>
      <c r="J12" s="8" t="s">
        <v>425</v>
      </c>
      <c r="K12" s="8"/>
    </row>
    <row r="13" customFormat="false" ht="23.85" hidden="false" customHeight="false" outlineLevel="0" collapsed="false">
      <c r="A13" s="9" t="s">
        <v>446</v>
      </c>
      <c r="B13" s="9" t="s">
        <v>273</v>
      </c>
      <c r="C13" s="9" t="s">
        <v>274</v>
      </c>
      <c r="D13" s="9" t="s">
        <v>51</v>
      </c>
      <c r="E13" s="9" t="s">
        <v>52</v>
      </c>
      <c r="F13" s="9" t="n">
        <v>5</v>
      </c>
      <c r="G13" s="9" t="s">
        <v>447</v>
      </c>
      <c r="H13" s="9" t="s">
        <v>423</v>
      </c>
      <c r="I13" s="9" t="s">
        <v>424</v>
      </c>
      <c r="J13" s="9" t="s">
        <v>425</v>
      </c>
      <c r="K13" s="9"/>
    </row>
    <row r="14" customFormat="false" ht="15" hidden="false" customHeight="false" outlineLevel="0" collapsed="false">
      <c r="A14" s="8" t="s">
        <v>448</v>
      </c>
      <c r="B14" s="8" t="s">
        <v>273</v>
      </c>
      <c r="C14" s="8" t="s">
        <v>274</v>
      </c>
      <c r="D14" s="8" t="s">
        <v>98</v>
      </c>
      <c r="E14" s="8" t="s">
        <v>99</v>
      </c>
      <c r="F14" s="8" t="n">
        <v>4</v>
      </c>
      <c r="G14" s="8" t="s">
        <v>449</v>
      </c>
      <c r="H14" s="8" t="s">
        <v>423</v>
      </c>
      <c r="I14" s="8" t="s">
        <v>424</v>
      </c>
      <c r="J14" s="8" t="s">
        <v>425</v>
      </c>
      <c r="K14" s="8"/>
    </row>
    <row r="15" customFormat="false" ht="15" hidden="false" customHeight="false" outlineLevel="0" collapsed="false">
      <c r="A15" s="9" t="s">
        <v>450</v>
      </c>
      <c r="B15" s="9" t="s">
        <v>273</v>
      </c>
      <c r="C15" s="9" t="s">
        <v>274</v>
      </c>
      <c r="D15" s="9" t="s">
        <v>107</v>
      </c>
      <c r="E15" s="9" t="s">
        <v>108</v>
      </c>
      <c r="F15" s="9" t="n">
        <v>3</v>
      </c>
      <c r="G15" s="9" t="s">
        <v>451</v>
      </c>
      <c r="H15" s="9" t="s">
        <v>111</v>
      </c>
      <c r="I15" s="9" t="s">
        <v>424</v>
      </c>
      <c r="J15" s="9" t="s">
        <v>425</v>
      </c>
      <c r="K15" s="9"/>
    </row>
    <row r="16" customFormat="false" ht="23.85" hidden="false" customHeight="false" outlineLevel="0" collapsed="false">
      <c r="A16" s="8" t="s">
        <v>452</v>
      </c>
      <c r="B16" s="8" t="s">
        <v>278</v>
      </c>
      <c r="C16" s="8" t="s">
        <v>279</v>
      </c>
      <c r="D16" s="8" t="s">
        <v>121</v>
      </c>
      <c r="E16" s="8" t="s">
        <v>122</v>
      </c>
      <c r="F16" s="8" t="n">
        <v>5</v>
      </c>
      <c r="G16" s="8" t="s">
        <v>453</v>
      </c>
      <c r="H16" s="8" t="s">
        <v>423</v>
      </c>
      <c r="I16" s="8" t="s">
        <v>424</v>
      </c>
      <c r="J16" s="8" t="s">
        <v>425</v>
      </c>
      <c r="K16" s="8"/>
    </row>
    <row r="17" customFormat="false" ht="23.85" hidden="false" customHeight="false" outlineLevel="0" collapsed="false">
      <c r="A17" s="9" t="s">
        <v>454</v>
      </c>
      <c r="B17" s="9" t="s">
        <v>278</v>
      </c>
      <c r="C17" s="9" t="s">
        <v>279</v>
      </c>
      <c r="D17" s="9" t="s">
        <v>103</v>
      </c>
      <c r="E17" s="9" t="s">
        <v>104</v>
      </c>
      <c r="F17" s="9" t="n">
        <v>5</v>
      </c>
      <c r="G17" s="9" t="s">
        <v>455</v>
      </c>
      <c r="H17" s="9" t="s">
        <v>423</v>
      </c>
      <c r="I17" s="9" t="s">
        <v>424</v>
      </c>
      <c r="J17" s="9" t="s">
        <v>425</v>
      </c>
      <c r="K17" s="9"/>
    </row>
    <row r="18" customFormat="false" ht="23.85" hidden="false" customHeight="false" outlineLevel="0" collapsed="false">
      <c r="A18" s="8" t="s">
        <v>456</v>
      </c>
      <c r="B18" s="8" t="s">
        <v>278</v>
      </c>
      <c r="C18" s="8" t="s">
        <v>279</v>
      </c>
      <c r="D18" s="8" t="s">
        <v>94</v>
      </c>
      <c r="E18" s="8" t="s">
        <v>95</v>
      </c>
      <c r="F18" s="8" t="n">
        <v>5</v>
      </c>
      <c r="G18" s="8" t="s">
        <v>457</v>
      </c>
      <c r="H18" s="8" t="s">
        <v>423</v>
      </c>
      <c r="I18" s="8" t="s">
        <v>424</v>
      </c>
      <c r="J18" s="8" t="s">
        <v>425</v>
      </c>
      <c r="K18" s="8"/>
    </row>
    <row r="19" customFormat="false" ht="15" hidden="false" customHeight="false" outlineLevel="0" collapsed="false">
      <c r="A19" s="9" t="s">
        <v>458</v>
      </c>
      <c r="B19" s="9" t="s">
        <v>278</v>
      </c>
      <c r="C19" s="9" t="s">
        <v>279</v>
      </c>
      <c r="D19" s="9" t="s">
        <v>98</v>
      </c>
      <c r="E19" s="9" t="s">
        <v>99</v>
      </c>
      <c r="F19" s="9" t="n">
        <v>4</v>
      </c>
      <c r="G19" s="9" t="s">
        <v>459</v>
      </c>
      <c r="H19" s="9" t="s">
        <v>423</v>
      </c>
      <c r="I19" s="9" t="s">
        <v>424</v>
      </c>
      <c r="J19" s="9" t="s">
        <v>425</v>
      </c>
      <c r="K19" s="9"/>
    </row>
    <row r="20" customFormat="false" ht="23.85" hidden="false" customHeight="false" outlineLevel="0" collapsed="false">
      <c r="A20" s="8" t="s">
        <v>460</v>
      </c>
      <c r="B20" s="8" t="s">
        <v>283</v>
      </c>
      <c r="C20" s="8" t="s">
        <v>284</v>
      </c>
      <c r="D20" s="8" t="s">
        <v>71</v>
      </c>
      <c r="E20" s="8" t="s">
        <v>72</v>
      </c>
      <c r="F20" s="8" t="n">
        <v>5</v>
      </c>
      <c r="G20" s="8" t="s">
        <v>461</v>
      </c>
      <c r="H20" s="8" t="s">
        <v>423</v>
      </c>
      <c r="I20" s="8" t="s">
        <v>424</v>
      </c>
      <c r="J20" s="8" t="s">
        <v>425</v>
      </c>
      <c r="K20" s="8"/>
    </row>
    <row r="21" customFormat="false" ht="15" hidden="false" customHeight="false" outlineLevel="0" collapsed="false">
      <c r="A21" s="9" t="s">
        <v>462</v>
      </c>
      <c r="B21" s="9" t="s">
        <v>283</v>
      </c>
      <c r="C21" s="9" t="s">
        <v>284</v>
      </c>
      <c r="D21" s="9" t="s">
        <v>51</v>
      </c>
      <c r="E21" s="9" t="s">
        <v>52</v>
      </c>
      <c r="F21" s="9" t="n">
        <v>4</v>
      </c>
      <c r="G21" s="9" t="s">
        <v>463</v>
      </c>
      <c r="H21" s="9" t="s">
        <v>423</v>
      </c>
      <c r="I21" s="9" t="s">
        <v>424</v>
      </c>
      <c r="J21" s="9" t="s">
        <v>425</v>
      </c>
      <c r="K21" s="9"/>
    </row>
    <row r="22" customFormat="false" ht="23.85" hidden="false" customHeight="false" outlineLevel="0" collapsed="false">
      <c r="A22" s="8" t="s">
        <v>464</v>
      </c>
      <c r="B22" s="8" t="s">
        <v>283</v>
      </c>
      <c r="C22" s="8" t="s">
        <v>284</v>
      </c>
      <c r="D22" s="8" t="s">
        <v>113</v>
      </c>
      <c r="E22" s="8" t="s">
        <v>114</v>
      </c>
      <c r="F22" s="8" t="n">
        <v>3</v>
      </c>
      <c r="G22" s="8" t="s">
        <v>465</v>
      </c>
      <c r="H22" s="8" t="s">
        <v>111</v>
      </c>
      <c r="I22" s="8" t="s">
        <v>424</v>
      </c>
      <c r="J22" s="8" t="s">
        <v>425</v>
      </c>
      <c r="K22" s="8"/>
    </row>
    <row r="23" customFormat="false" ht="23.85" hidden="false" customHeight="false" outlineLevel="0" collapsed="false">
      <c r="A23" s="9" t="s">
        <v>466</v>
      </c>
      <c r="B23" s="9" t="s">
        <v>291</v>
      </c>
      <c r="C23" s="9" t="s">
        <v>292</v>
      </c>
      <c r="D23" s="9" t="s">
        <v>71</v>
      </c>
      <c r="E23" s="9" t="s">
        <v>72</v>
      </c>
      <c r="F23" s="9" t="n">
        <v>5</v>
      </c>
      <c r="G23" s="9" t="s">
        <v>467</v>
      </c>
      <c r="H23" s="9" t="s">
        <v>423</v>
      </c>
      <c r="I23" s="9" t="s">
        <v>424</v>
      </c>
      <c r="J23" s="9" t="s">
        <v>425</v>
      </c>
      <c r="K23" s="9"/>
    </row>
    <row r="24" customFormat="false" ht="23.85" hidden="false" customHeight="false" outlineLevel="0" collapsed="false">
      <c r="A24" s="8" t="s">
        <v>468</v>
      </c>
      <c r="B24" s="8" t="s">
        <v>291</v>
      </c>
      <c r="C24" s="8" t="s">
        <v>292</v>
      </c>
      <c r="D24" s="8" t="s">
        <v>103</v>
      </c>
      <c r="E24" s="8" t="s">
        <v>104</v>
      </c>
      <c r="F24" s="8" t="n">
        <v>4</v>
      </c>
      <c r="G24" s="8" t="s">
        <v>469</v>
      </c>
      <c r="H24" s="8" t="s">
        <v>423</v>
      </c>
      <c r="I24" s="8" t="s">
        <v>424</v>
      </c>
      <c r="J24" s="8" t="s">
        <v>425</v>
      </c>
      <c r="K24" s="8"/>
    </row>
    <row r="25" customFormat="false" ht="23.85" hidden="false" customHeight="false" outlineLevel="0" collapsed="false">
      <c r="A25" s="9" t="s">
        <v>470</v>
      </c>
      <c r="B25" s="9" t="s">
        <v>298</v>
      </c>
      <c r="C25" s="9" t="s">
        <v>299</v>
      </c>
      <c r="D25" s="9" t="s">
        <v>62</v>
      </c>
      <c r="E25" s="9" t="s">
        <v>63</v>
      </c>
      <c r="F25" s="9" t="n">
        <v>5</v>
      </c>
      <c r="G25" s="9" t="s">
        <v>471</v>
      </c>
      <c r="H25" s="9" t="s">
        <v>423</v>
      </c>
      <c r="I25" s="9" t="s">
        <v>424</v>
      </c>
      <c r="J25" s="9" t="s">
        <v>425</v>
      </c>
      <c r="K25" s="9"/>
    </row>
    <row r="26" customFormat="false" ht="23.85" hidden="false" customHeight="false" outlineLevel="0" collapsed="false">
      <c r="A26" s="8" t="s">
        <v>472</v>
      </c>
      <c r="B26" s="8" t="s">
        <v>298</v>
      </c>
      <c r="C26" s="8" t="s">
        <v>299</v>
      </c>
      <c r="D26" s="8" t="s">
        <v>94</v>
      </c>
      <c r="E26" s="8" t="s">
        <v>95</v>
      </c>
      <c r="F26" s="8" t="n">
        <v>5</v>
      </c>
      <c r="G26" s="8" t="s">
        <v>473</v>
      </c>
      <c r="H26" s="8" t="s">
        <v>423</v>
      </c>
      <c r="I26" s="8" t="s">
        <v>424</v>
      </c>
      <c r="J26" s="8" t="s">
        <v>425</v>
      </c>
      <c r="K26" s="8"/>
    </row>
    <row r="27" customFormat="false" ht="23.85" hidden="false" customHeight="false" outlineLevel="0" collapsed="false">
      <c r="A27" s="9" t="s">
        <v>474</v>
      </c>
      <c r="B27" s="9" t="s">
        <v>298</v>
      </c>
      <c r="C27" s="9" t="s">
        <v>299</v>
      </c>
      <c r="D27" s="9" t="s">
        <v>75</v>
      </c>
      <c r="E27" s="9" t="s">
        <v>76</v>
      </c>
      <c r="F27" s="9" t="n">
        <v>4</v>
      </c>
      <c r="G27" s="9" t="s">
        <v>475</v>
      </c>
      <c r="H27" s="9" t="s">
        <v>423</v>
      </c>
      <c r="I27" s="9" t="s">
        <v>424</v>
      </c>
      <c r="J27" s="9" t="s">
        <v>425</v>
      </c>
      <c r="K27" s="9"/>
    </row>
    <row r="28" customFormat="false" ht="23.85" hidden="false" customHeight="false" outlineLevel="0" collapsed="false">
      <c r="A28" s="8" t="s">
        <v>476</v>
      </c>
      <c r="B28" s="8" t="s">
        <v>305</v>
      </c>
      <c r="C28" s="8" t="s">
        <v>306</v>
      </c>
      <c r="D28" s="8" t="s">
        <v>75</v>
      </c>
      <c r="E28" s="8" t="s">
        <v>76</v>
      </c>
      <c r="F28" s="8" t="n">
        <v>5</v>
      </c>
      <c r="G28" s="8" t="s">
        <v>477</v>
      </c>
      <c r="H28" s="8" t="s">
        <v>423</v>
      </c>
      <c r="I28" s="8" t="s">
        <v>424</v>
      </c>
      <c r="J28" s="8" t="s">
        <v>425</v>
      </c>
      <c r="K28" s="8"/>
    </row>
    <row r="29" customFormat="false" ht="23.85" hidden="false" customHeight="false" outlineLevel="0" collapsed="false">
      <c r="A29" s="9" t="s">
        <v>478</v>
      </c>
      <c r="B29" s="9" t="s">
        <v>305</v>
      </c>
      <c r="C29" s="9" t="s">
        <v>306</v>
      </c>
      <c r="D29" s="9" t="s">
        <v>57</v>
      </c>
      <c r="E29" s="9" t="s">
        <v>58</v>
      </c>
      <c r="F29" s="9" t="n">
        <v>4</v>
      </c>
      <c r="G29" s="9" t="s">
        <v>479</v>
      </c>
      <c r="H29" s="9" t="s">
        <v>423</v>
      </c>
      <c r="I29" s="9" t="s">
        <v>424</v>
      </c>
      <c r="J29" s="9" t="s">
        <v>425</v>
      </c>
      <c r="K29" s="9"/>
    </row>
    <row r="30" customFormat="false" ht="23.85" hidden="false" customHeight="false" outlineLevel="0" collapsed="false">
      <c r="A30" s="8" t="s">
        <v>480</v>
      </c>
      <c r="B30" s="8" t="s">
        <v>305</v>
      </c>
      <c r="C30" s="8" t="s">
        <v>306</v>
      </c>
      <c r="D30" s="8" t="s">
        <v>94</v>
      </c>
      <c r="E30" s="8" t="s">
        <v>95</v>
      </c>
      <c r="F30" s="8" t="n">
        <v>4</v>
      </c>
      <c r="G30" s="8" t="s">
        <v>481</v>
      </c>
      <c r="H30" s="8" t="s">
        <v>423</v>
      </c>
      <c r="I30" s="8" t="s">
        <v>424</v>
      </c>
      <c r="J30" s="8" t="s">
        <v>425</v>
      </c>
      <c r="K30" s="8"/>
    </row>
    <row r="31" customFormat="false" ht="23.85" hidden="false" customHeight="false" outlineLevel="0" collapsed="false">
      <c r="A31" s="9" t="s">
        <v>482</v>
      </c>
      <c r="B31" s="9" t="s">
        <v>309</v>
      </c>
      <c r="C31" s="9" t="s">
        <v>310</v>
      </c>
      <c r="D31" s="9" t="s">
        <v>94</v>
      </c>
      <c r="E31" s="9" t="s">
        <v>95</v>
      </c>
      <c r="F31" s="9" t="n">
        <v>5</v>
      </c>
      <c r="G31" s="9" t="s">
        <v>483</v>
      </c>
      <c r="H31" s="9" t="s">
        <v>423</v>
      </c>
      <c r="I31" s="9" t="s">
        <v>424</v>
      </c>
      <c r="J31" s="9" t="s">
        <v>425</v>
      </c>
      <c r="K31" s="9"/>
    </row>
    <row r="32" customFormat="false" ht="23.85" hidden="false" customHeight="false" outlineLevel="0" collapsed="false">
      <c r="A32" s="8" t="s">
        <v>484</v>
      </c>
      <c r="B32" s="8" t="s">
        <v>309</v>
      </c>
      <c r="C32" s="8" t="s">
        <v>310</v>
      </c>
      <c r="D32" s="8" t="s">
        <v>98</v>
      </c>
      <c r="E32" s="8" t="s">
        <v>99</v>
      </c>
      <c r="F32" s="8" t="n">
        <v>5</v>
      </c>
      <c r="G32" s="8" t="s">
        <v>485</v>
      </c>
      <c r="H32" s="8" t="s">
        <v>423</v>
      </c>
      <c r="I32" s="8" t="s">
        <v>424</v>
      </c>
      <c r="J32" s="8" t="s">
        <v>425</v>
      </c>
      <c r="K32" s="8"/>
    </row>
    <row r="33" customFormat="false" ht="23.85" hidden="false" customHeight="false" outlineLevel="0" collapsed="false">
      <c r="A33" s="9" t="s">
        <v>486</v>
      </c>
      <c r="B33" s="9" t="s">
        <v>309</v>
      </c>
      <c r="C33" s="9" t="s">
        <v>310</v>
      </c>
      <c r="D33" s="9" t="s">
        <v>51</v>
      </c>
      <c r="E33" s="9" t="s">
        <v>52</v>
      </c>
      <c r="F33" s="9" t="n">
        <v>4</v>
      </c>
      <c r="G33" s="9" t="s">
        <v>487</v>
      </c>
      <c r="H33" s="9" t="s">
        <v>423</v>
      </c>
      <c r="I33" s="9" t="s">
        <v>424</v>
      </c>
      <c r="J33" s="9" t="s">
        <v>425</v>
      </c>
      <c r="K33" s="9"/>
    </row>
    <row r="34" customFormat="false" ht="23.85" hidden="false" customHeight="false" outlineLevel="0" collapsed="false">
      <c r="A34" s="8" t="s">
        <v>488</v>
      </c>
      <c r="B34" s="8" t="s">
        <v>315</v>
      </c>
      <c r="C34" s="8" t="s">
        <v>316</v>
      </c>
      <c r="D34" s="8" t="s">
        <v>75</v>
      </c>
      <c r="E34" s="8" t="s">
        <v>76</v>
      </c>
      <c r="F34" s="8" t="n">
        <v>5</v>
      </c>
      <c r="G34" s="8" t="s">
        <v>489</v>
      </c>
      <c r="H34" s="8" t="s">
        <v>423</v>
      </c>
      <c r="I34" s="8" t="s">
        <v>424</v>
      </c>
      <c r="J34" s="8" t="s">
        <v>425</v>
      </c>
      <c r="K34" s="8"/>
    </row>
    <row r="35" customFormat="false" ht="15" hidden="false" customHeight="false" outlineLevel="0" collapsed="false">
      <c r="A35" s="9" t="s">
        <v>490</v>
      </c>
      <c r="B35" s="9" t="s">
        <v>315</v>
      </c>
      <c r="C35" s="9" t="s">
        <v>316</v>
      </c>
      <c r="D35" s="9" t="s">
        <v>117</v>
      </c>
      <c r="E35" s="9" t="s">
        <v>118</v>
      </c>
      <c r="F35" s="9" t="n">
        <v>5</v>
      </c>
      <c r="G35" s="9" t="s">
        <v>491</v>
      </c>
      <c r="H35" s="9" t="s">
        <v>423</v>
      </c>
      <c r="I35" s="9" t="s">
        <v>424</v>
      </c>
      <c r="J35" s="9" t="s">
        <v>425</v>
      </c>
      <c r="K35" s="9"/>
    </row>
    <row r="36" customFormat="false" ht="15" hidden="false" customHeight="false" outlineLevel="0" collapsed="false">
      <c r="A36" s="8" t="s">
        <v>492</v>
      </c>
      <c r="B36" s="8" t="s">
        <v>315</v>
      </c>
      <c r="C36" s="8" t="s">
        <v>316</v>
      </c>
      <c r="D36" s="8" t="s">
        <v>88</v>
      </c>
      <c r="E36" s="8" t="s">
        <v>89</v>
      </c>
      <c r="F36" s="8" t="n">
        <v>4</v>
      </c>
      <c r="G36" s="8" t="s">
        <v>493</v>
      </c>
      <c r="H36" s="8" t="s">
        <v>423</v>
      </c>
      <c r="I36" s="8" t="s">
        <v>424</v>
      </c>
      <c r="J36" s="8" t="s">
        <v>425</v>
      </c>
      <c r="K36" s="8"/>
    </row>
    <row r="37" customFormat="false" ht="23.85" hidden="false" customHeight="false" outlineLevel="0" collapsed="false">
      <c r="A37" s="9" t="s">
        <v>494</v>
      </c>
      <c r="B37" s="9" t="s">
        <v>320</v>
      </c>
      <c r="C37" s="9" t="s">
        <v>321</v>
      </c>
      <c r="D37" s="9" t="s">
        <v>83</v>
      </c>
      <c r="E37" s="9" t="s">
        <v>84</v>
      </c>
      <c r="F37" s="9" t="n">
        <v>4</v>
      </c>
      <c r="G37" s="9" t="s">
        <v>495</v>
      </c>
      <c r="H37" s="9" t="s">
        <v>423</v>
      </c>
      <c r="I37" s="9" t="s">
        <v>424</v>
      </c>
      <c r="J37" s="9" t="s">
        <v>425</v>
      </c>
      <c r="K37" s="9"/>
    </row>
    <row r="38" customFormat="false" ht="15" hidden="false" customHeight="false" outlineLevel="0" collapsed="false">
      <c r="A38" s="8" t="s">
        <v>496</v>
      </c>
      <c r="B38" s="8" t="s">
        <v>320</v>
      </c>
      <c r="C38" s="8" t="s">
        <v>321</v>
      </c>
      <c r="D38" s="8" t="s">
        <v>103</v>
      </c>
      <c r="E38" s="8" t="s">
        <v>104</v>
      </c>
      <c r="F38" s="8" t="n">
        <v>4</v>
      </c>
      <c r="G38" s="8" t="s">
        <v>497</v>
      </c>
      <c r="H38" s="8" t="s">
        <v>423</v>
      </c>
      <c r="I38" s="8" t="s">
        <v>424</v>
      </c>
      <c r="J38" s="8" t="s">
        <v>425</v>
      </c>
      <c r="K38" s="8"/>
    </row>
    <row r="39" customFormat="false" ht="15" hidden="false" customHeight="false" outlineLevel="0" collapsed="false">
      <c r="A39" s="9" t="s">
        <v>498</v>
      </c>
      <c r="B39" s="9" t="s">
        <v>325</v>
      </c>
      <c r="C39" s="9" t="s">
        <v>326</v>
      </c>
      <c r="D39" s="9" t="s">
        <v>75</v>
      </c>
      <c r="E39" s="9" t="s">
        <v>76</v>
      </c>
      <c r="F39" s="9" t="n">
        <v>4</v>
      </c>
      <c r="G39" s="9" t="s">
        <v>499</v>
      </c>
      <c r="H39" s="9" t="s">
        <v>423</v>
      </c>
      <c r="I39" s="9" t="s">
        <v>424</v>
      </c>
      <c r="J39" s="9" t="s">
        <v>425</v>
      </c>
      <c r="K39" s="9"/>
    </row>
    <row r="40" customFormat="false" ht="23.85" hidden="false" customHeight="false" outlineLevel="0" collapsed="false">
      <c r="A40" s="8" t="s">
        <v>500</v>
      </c>
      <c r="B40" s="8" t="s">
        <v>325</v>
      </c>
      <c r="C40" s="8" t="s">
        <v>326</v>
      </c>
      <c r="D40" s="8" t="s">
        <v>79</v>
      </c>
      <c r="E40" s="8" t="s">
        <v>80</v>
      </c>
      <c r="F40" s="8" t="n">
        <v>4</v>
      </c>
      <c r="G40" s="8" t="s">
        <v>501</v>
      </c>
      <c r="H40" s="8" t="s">
        <v>423</v>
      </c>
      <c r="I40" s="8" t="s">
        <v>424</v>
      </c>
      <c r="J40" s="8" t="s">
        <v>425</v>
      </c>
      <c r="K40" s="8"/>
    </row>
    <row r="41" customFormat="false" ht="23.85" hidden="false" customHeight="false" outlineLevel="0" collapsed="false">
      <c r="A41" s="9" t="s">
        <v>502</v>
      </c>
      <c r="B41" s="9" t="s">
        <v>329</v>
      </c>
      <c r="C41" s="9" t="s">
        <v>330</v>
      </c>
      <c r="D41" s="9" t="s">
        <v>67</v>
      </c>
      <c r="E41" s="9" t="s">
        <v>68</v>
      </c>
      <c r="F41" s="9" t="n">
        <v>4</v>
      </c>
      <c r="G41" s="9" t="s">
        <v>503</v>
      </c>
      <c r="H41" s="9" t="s">
        <v>423</v>
      </c>
      <c r="I41" s="9" t="s">
        <v>424</v>
      </c>
      <c r="J41" s="9" t="s">
        <v>425</v>
      </c>
      <c r="K41" s="9"/>
    </row>
    <row r="42" customFormat="false" ht="23.85" hidden="false" customHeight="false" outlineLevel="0" collapsed="false">
      <c r="A42" s="8" t="s">
        <v>504</v>
      </c>
      <c r="B42" s="8" t="s">
        <v>329</v>
      </c>
      <c r="C42" s="8" t="s">
        <v>330</v>
      </c>
      <c r="D42" s="8" t="s">
        <v>94</v>
      </c>
      <c r="E42" s="8" t="s">
        <v>95</v>
      </c>
      <c r="F42" s="8" t="n">
        <v>4</v>
      </c>
      <c r="G42" s="8" t="s">
        <v>505</v>
      </c>
      <c r="H42" s="8" t="s">
        <v>423</v>
      </c>
      <c r="I42" s="8" t="s">
        <v>424</v>
      </c>
      <c r="J42" s="8" t="s">
        <v>425</v>
      </c>
      <c r="K42" s="8"/>
    </row>
    <row r="43" customFormat="false" ht="23.85" hidden="false" customHeight="false" outlineLevel="0" collapsed="false">
      <c r="A43" s="9" t="s">
        <v>506</v>
      </c>
      <c r="B43" s="9" t="s">
        <v>335</v>
      </c>
      <c r="C43" s="9" t="s">
        <v>336</v>
      </c>
      <c r="D43" s="9" t="s">
        <v>94</v>
      </c>
      <c r="E43" s="9" t="s">
        <v>95</v>
      </c>
      <c r="F43" s="9" t="n">
        <v>5</v>
      </c>
      <c r="G43" s="9" t="s">
        <v>507</v>
      </c>
      <c r="H43" s="9" t="s">
        <v>423</v>
      </c>
      <c r="I43" s="9" t="s">
        <v>424</v>
      </c>
      <c r="J43" s="9" t="s">
        <v>425</v>
      </c>
      <c r="K43" s="9"/>
    </row>
    <row r="44" customFormat="false" ht="15" hidden="false" customHeight="false" outlineLevel="0" collapsed="false">
      <c r="A44" s="8" t="s">
        <v>508</v>
      </c>
      <c r="B44" s="8" t="s">
        <v>335</v>
      </c>
      <c r="C44" s="8" t="s">
        <v>336</v>
      </c>
      <c r="D44" s="8" t="s">
        <v>83</v>
      </c>
      <c r="E44" s="8" t="s">
        <v>84</v>
      </c>
      <c r="F44" s="8" t="n">
        <v>4</v>
      </c>
      <c r="G44" s="8" t="s">
        <v>509</v>
      </c>
      <c r="H44" s="8" t="s">
        <v>423</v>
      </c>
      <c r="I44" s="8" t="s">
        <v>424</v>
      </c>
      <c r="J44" s="8" t="s">
        <v>425</v>
      </c>
      <c r="K44" s="8"/>
    </row>
    <row r="45" customFormat="false" ht="15" hidden="false" customHeight="false" outlineLevel="0" collapsed="false">
      <c r="A45" s="9" t="s">
        <v>510</v>
      </c>
      <c r="B45" s="9" t="s">
        <v>341</v>
      </c>
      <c r="C45" s="9" t="s">
        <v>342</v>
      </c>
      <c r="D45" s="9" t="s">
        <v>88</v>
      </c>
      <c r="E45" s="9" t="s">
        <v>89</v>
      </c>
      <c r="F45" s="9" t="n">
        <v>5</v>
      </c>
      <c r="G45" s="9" t="s">
        <v>511</v>
      </c>
      <c r="H45" s="9" t="s">
        <v>423</v>
      </c>
      <c r="I45" s="9" t="s">
        <v>424</v>
      </c>
      <c r="J45" s="9" t="s">
        <v>425</v>
      </c>
      <c r="K45" s="9"/>
    </row>
    <row r="46" customFormat="false" ht="23.85" hidden="false" customHeight="false" outlineLevel="0" collapsed="false">
      <c r="A46" s="8" t="s">
        <v>512</v>
      </c>
      <c r="B46" s="8" t="s">
        <v>341</v>
      </c>
      <c r="C46" s="8" t="s">
        <v>342</v>
      </c>
      <c r="D46" s="8" t="s">
        <v>117</v>
      </c>
      <c r="E46" s="8" t="s">
        <v>118</v>
      </c>
      <c r="F46" s="8" t="n">
        <v>4</v>
      </c>
      <c r="G46" s="8" t="s">
        <v>513</v>
      </c>
      <c r="H46" s="8" t="s">
        <v>423</v>
      </c>
      <c r="I46" s="8" t="s">
        <v>424</v>
      </c>
      <c r="J46" s="8" t="s">
        <v>425</v>
      </c>
      <c r="K46" s="8"/>
    </row>
    <row r="47" customFormat="false" ht="15" hidden="false" customHeight="false" outlineLevel="0" collapsed="false">
      <c r="A47" s="9" t="s">
        <v>514</v>
      </c>
      <c r="B47" s="9" t="s">
        <v>345</v>
      </c>
      <c r="C47" s="9" t="s">
        <v>346</v>
      </c>
      <c r="D47" s="9" t="s">
        <v>71</v>
      </c>
      <c r="E47" s="9" t="s">
        <v>72</v>
      </c>
      <c r="F47" s="9" t="n">
        <v>4</v>
      </c>
      <c r="G47" s="9" t="s">
        <v>515</v>
      </c>
      <c r="H47" s="9" t="s">
        <v>423</v>
      </c>
      <c r="I47" s="9" t="s">
        <v>424</v>
      </c>
      <c r="J47" s="9" t="s">
        <v>425</v>
      </c>
      <c r="K47" s="9"/>
    </row>
    <row r="48" customFormat="false" ht="23.85" hidden="false" customHeight="false" outlineLevel="0" collapsed="false">
      <c r="A48" s="8" t="s">
        <v>516</v>
      </c>
      <c r="B48" s="8" t="s">
        <v>345</v>
      </c>
      <c r="C48" s="8" t="s">
        <v>346</v>
      </c>
      <c r="D48" s="8" t="s">
        <v>103</v>
      </c>
      <c r="E48" s="8" t="s">
        <v>104</v>
      </c>
      <c r="F48" s="8" t="n">
        <v>5</v>
      </c>
      <c r="G48" s="8" t="s">
        <v>517</v>
      </c>
      <c r="H48" s="8" t="s">
        <v>423</v>
      </c>
      <c r="I48" s="8" t="s">
        <v>424</v>
      </c>
      <c r="J48" s="8" t="s">
        <v>425</v>
      </c>
      <c r="K48" s="8"/>
    </row>
    <row r="49" customFormat="false" ht="23.85" hidden="false" customHeight="false" outlineLevel="0" collapsed="false">
      <c r="A49" s="9" t="s">
        <v>518</v>
      </c>
      <c r="B49" s="9" t="s">
        <v>351</v>
      </c>
      <c r="C49" s="9" t="s">
        <v>352</v>
      </c>
      <c r="D49" s="9" t="s">
        <v>67</v>
      </c>
      <c r="E49" s="9" t="s">
        <v>68</v>
      </c>
      <c r="F49" s="9" t="n">
        <v>4</v>
      </c>
      <c r="G49" s="9" t="s">
        <v>519</v>
      </c>
      <c r="H49" s="9" t="s">
        <v>423</v>
      </c>
      <c r="I49" s="9" t="s">
        <v>424</v>
      </c>
      <c r="J49" s="9" t="s">
        <v>425</v>
      </c>
      <c r="K49" s="9"/>
    </row>
    <row r="50" customFormat="false" ht="15" hidden="false" customHeight="false" outlineLevel="0" collapsed="false">
      <c r="A50" s="8" t="s">
        <v>520</v>
      </c>
      <c r="B50" s="8" t="s">
        <v>351</v>
      </c>
      <c r="C50" s="8" t="s">
        <v>352</v>
      </c>
      <c r="D50" s="8" t="s">
        <v>94</v>
      </c>
      <c r="E50" s="8" t="s">
        <v>95</v>
      </c>
      <c r="F50" s="8" t="n">
        <v>4</v>
      </c>
      <c r="G50" s="8" t="s">
        <v>521</v>
      </c>
      <c r="H50" s="8" t="s">
        <v>423</v>
      </c>
      <c r="I50" s="8" t="s">
        <v>424</v>
      </c>
      <c r="J50" s="8" t="s">
        <v>425</v>
      </c>
      <c r="K50" s="8"/>
    </row>
    <row r="51" customFormat="false" ht="23.85" hidden="false" customHeight="false" outlineLevel="0" collapsed="false">
      <c r="A51" s="9" t="s">
        <v>522</v>
      </c>
      <c r="B51" s="9" t="s">
        <v>356</v>
      </c>
      <c r="C51" s="9" t="s">
        <v>357</v>
      </c>
      <c r="D51" s="9" t="s">
        <v>57</v>
      </c>
      <c r="E51" s="9" t="s">
        <v>58</v>
      </c>
      <c r="F51" s="9" t="n">
        <v>4</v>
      </c>
      <c r="G51" s="9" t="s">
        <v>523</v>
      </c>
      <c r="H51" s="9" t="s">
        <v>423</v>
      </c>
      <c r="I51" s="9" t="s">
        <v>424</v>
      </c>
      <c r="J51" s="9" t="s">
        <v>425</v>
      </c>
      <c r="K51" s="9"/>
    </row>
    <row r="52" customFormat="false" ht="15" hidden="false" customHeight="false" outlineLevel="0" collapsed="false">
      <c r="A52" s="8" t="s">
        <v>524</v>
      </c>
      <c r="B52" s="8" t="s">
        <v>356</v>
      </c>
      <c r="C52" s="8" t="s">
        <v>357</v>
      </c>
      <c r="D52" s="8" t="s">
        <v>79</v>
      </c>
      <c r="E52" s="8" t="s">
        <v>80</v>
      </c>
      <c r="F52" s="8" t="n">
        <v>4</v>
      </c>
      <c r="G52" s="8" t="s">
        <v>525</v>
      </c>
      <c r="H52" s="8" t="s">
        <v>423</v>
      </c>
      <c r="I52" s="8" t="s">
        <v>424</v>
      </c>
      <c r="J52" s="8" t="s">
        <v>425</v>
      </c>
      <c r="K52" s="8"/>
    </row>
    <row r="53" customFormat="false" ht="23.85" hidden="false" customHeight="false" outlineLevel="0" collapsed="false">
      <c r="A53" s="9" t="s">
        <v>526</v>
      </c>
      <c r="B53" s="9" t="s">
        <v>360</v>
      </c>
      <c r="C53" s="9" t="s">
        <v>361</v>
      </c>
      <c r="D53" s="9" t="s">
        <v>103</v>
      </c>
      <c r="E53" s="9" t="s">
        <v>104</v>
      </c>
      <c r="F53" s="9" t="n">
        <v>5</v>
      </c>
      <c r="G53" s="9" t="s">
        <v>527</v>
      </c>
      <c r="H53" s="9" t="s">
        <v>423</v>
      </c>
      <c r="I53" s="9" t="s">
        <v>424</v>
      </c>
      <c r="J53" s="9" t="s">
        <v>425</v>
      </c>
      <c r="K53" s="9"/>
    </row>
    <row r="54" customFormat="false" ht="23.85" hidden="false" customHeight="false" outlineLevel="0" collapsed="false">
      <c r="A54" s="8" t="s">
        <v>528</v>
      </c>
      <c r="B54" s="8" t="s">
        <v>360</v>
      </c>
      <c r="C54" s="8" t="s">
        <v>361</v>
      </c>
      <c r="D54" s="8" t="s">
        <v>83</v>
      </c>
      <c r="E54" s="8" t="s">
        <v>84</v>
      </c>
      <c r="F54" s="8" t="n">
        <v>4</v>
      </c>
      <c r="G54" s="8" t="s">
        <v>529</v>
      </c>
      <c r="H54" s="8" t="s">
        <v>423</v>
      </c>
      <c r="I54" s="8" t="s">
        <v>424</v>
      </c>
      <c r="J54" s="8" t="s">
        <v>425</v>
      </c>
      <c r="K54" s="8"/>
    </row>
    <row r="55" customFormat="false" ht="23.85" hidden="false" customHeight="false" outlineLevel="0" collapsed="false">
      <c r="A55" s="9" t="s">
        <v>530</v>
      </c>
      <c r="B55" s="9" t="s">
        <v>365</v>
      </c>
      <c r="C55" s="9" t="s">
        <v>366</v>
      </c>
      <c r="D55" s="9" t="s">
        <v>67</v>
      </c>
      <c r="E55" s="9" t="s">
        <v>68</v>
      </c>
      <c r="F55" s="9" t="n">
        <v>5</v>
      </c>
      <c r="G55" s="9" t="s">
        <v>531</v>
      </c>
      <c r="H55" s="9" t="s">
        <v>423</v>
      </c>
      <c r="I55" s="9" t="s">
        <v>424</v>
      </c>
      <c r="J55" s="9" t="s">
        <v>425</v>
      </c>
      <c r="K55" s="9"/>
    </row>
    <row r="56" customFormat="false" ht="15" hidden="false" customHeight="false" outlineLevel="0" collapsed="false">
      <c r="A56" s="8" t="s">
        <v>532</v>
      </c>
      <c r="B56" s="8" t="s">
        <v>365</v>
      </c>
      <c r="C56" s="8" t="s">
        <v>366</v>
      </c>
      <c r="D56" s="8" t="s">
        <v>113</v>
      </c>
      <c r="E56" s="8" t="s">
        <v>114</v>
      </c>
      <c r="F56" s="8" t="n">
        <v>4</v>
      </c>
      <c r="G56" s="8" t="s">
        <v>533</v>
      </c>
      <c r="H56" s="8" t="s">
        <v>423</v>
      </c>
      <c r="I56" s="8" t="s">
        <v>424</v>
      </c>
      <c r="J56" s="8" t="s">
        <v>425</v>
      </c>
      <c r="K56" s="8"/>
    </row>
    <row r="57" customFormat="false" ht="15" hidden="false" customHeight="false" outlineLevel="0" collapsed="false">
      <c r="A57" s="9" t="s">
        <v>534</v>
      </c>
      <c r="B57" s="9" t="s">
        <v>370</v>
      </c>
      <c r="C57" s="9" t="s">
        <v>371</v>
      </c>
      <c r="D57" s="9" t="s">
        <v>75</v>
      </c>
      <c r="E57" s="9" t="s">
        <v>76</v>
      </c>
      <c r="F57" s="9" t="n">
        <v>5</v>
      </c>
      <c r="G57" s="9" t="s">
        <v>535</v>
      </c>
      <c r="H57" s="9" t="s">
        <v>423</v>
      </c>
      <c r="I57" s="9" t="s">
        <v>424</v>
      </c>
      <c r="J57" s="9" t="s">
        <v>425</v>
      </c>
      <c r="K57" s="9"/>
    </row>
    <row r="58" customFormat="false" ht="23.85" hidden="false" customHeight="false" outlineLevel="0" collapsed="false">
      <c r="A58" s="8" t="s">
        <v>536</v>
      </c>
      <c r="B58" s="8" t="s">
        <v>370</v>
      </c>
      <c r="C58" s="8" t="s">
        <v>371</v>
      </c>
      <c r="D58" s="8" t="s">
        <v>117</v>
      </c>
      <c r="E58" s="8" t="s">
        <v>118</v>
      </c>
      <c r="F58" s="8" t="n">
        <v>4</v>
      </c>
      <c r="G58" s="8" t="s">
        <v>537</v>
      </c>
      <c r="H58" s="8" t="s">
        <v>423</v>
      </c>
      <c r="I58" s="8" t="s">
        <v>424</v>
      </c>
      <c r="J58" s="8" t="s">
        <v>425</v>
      </c>
      <c r="K58" s="8"/>
    </row>
    <row r="59" customFormat="false" ht="15" hidden="false" customHeight="false" outlineLevel="0" collapsed="false">
      <c r="A59" s="9" t="s">
        <v>538</v>
      </c>
      <c r="B59" s="9" t="s">
        <v>376</v>
      </c>
      <c r="C59" s="9" t="s">
        <v>377</v>
      </c>
      <c r="D59" s="9" t="s">
        <v>71</v>
      </c>
      <c r="E59" s="9" t="s">
        <v>72</v>
      </c>
      <c r="F59" s="9" t="n">
        <v>4</v>
      </c>
      <c r="G59" s="9" t="s">
        <v>539</v>
      </c>
      <c r="H59" s="9" t="s">
        <v>423</v>
      </c>
      <c r="I59" s="9" t="s">
        <v>424</v>
      </c>
      <c r="J59" s="9" t="s">
        <v>425</v>
      </c>
      <c r="K59" s="9"/>
    </row>
    <row r="60" customFormat="false" ht="23.85" hidden="false" customHeight="false" outlineLevel="0" collapsed="false">
      <c r="A60" s="8" t="s">
        <v>540</v>
      </c>
      <c r="B60" s="8" t="s">
        <v>376</v>
      </c>
      <c r="C60" s="8" t="s">
        <v>377</v>
      </c>
      <c r="D60" s="8" t="s">
        <v>67</v>
      </c>
      <c r="E60" s="8" t="s">
        <v>68</v>
      </c>
      <c r="F60" s="8" t="n">
        <v>3</v>
      </c>
      <c r="G60" s="8" t="s">
        <v>541</v>
      </c>
      <c r="H60" s="8" t="s">
        <v>111</v>
      </c>
      <c r="I60" s="8" t="s">
        <v>424</v>
      </c>
      <c r="J60" s="8" t="s">
        <v>425</v>
      </c>
      <c r="K60" s="8"/>
    </row>
    <row r="61" customFormat="false" ht="15" hidden="false" customHeight="false" outlineLevel="0" collapsed="false">
      <c r="A61" s="9" t="s">
        <v>542</v>
      </c>
      <c r="B61" s="9" t="s">
        <v>381</v>
      </c>
      <c r="C61" s="9" t="s">
        <v>382</v>
      </c>
      <c r="D61" s="9" t="s">
        <v>113</v>
      </c>
      <c r="E61" s="9" t="s">
        <v>114</v>
      </c>
      <c r="F61" s="9" t="n">
        <v>4</v>
      </c>
      <c r="G61" s="9" t="s">
        <v>543</v>
      </c>
      <c r="H61" s="9" t="s">
        <v>423</v>
      </c>
      <c r="I61" s="9" t="s">
        <v>424</v>
      </c>
      <c r="J61" s="9" t="s">
        <v>425</v>
      </c>
      <c r="K61" s="9"/>
    </row>
    <row r="62" customFormat="false" ht="23.85" hidden="false" customHeight="false" outlineLevel="0" collapsed="false">
      <c r="A62" s="8" t="s">
        <v>544</v>
      </c>
      <c r="B62" s="8" t="s">
        <v>381</v>
      </c>
      <c r="C62" s="8" t="s">
        <v>382</v>
      </c>
      <c r="D62" s="8" t="s">
        <v>71</v>
      </c>
      <c r="E62" s="8" t="s">
        <v>72</v>
      </c>
      <c r="F62" s="8" t="n">
        <v>3</v>
      </c>
      <c r="G62" s="8" t="s">
        <v>545</v>
      </c>
      <c r="H62" s="8" t="s">
        <v>111</v>
      </c>
      <c r="I62" s="8" t="s">
        <v>424</v>
      </c>
      <c r="J62" s="8" t="s">
        <v>425</v>
      </c>
      <c r="K62" s="8"/>
    </row>
    <row r="63" customFormat="false" ht="15" hidden="false" customHeight="false" outlineLevel="0" collapsed="false">
      <c r="A63" s="9" t="s">
        <v>546</v>
      </c>
      <c r="B63" s="9" t="s">
        <v>387</v>
      </c>
      <c r="C63" s="9" t="s">
        <v>388</v>
      </c>
      <c r="D63" s="9" t="s">
        <v>121</v>
      </c>
      <c r="E63" s="9" t="s">
        <v>122</v>
      </c>
      <c r="F63" s="9" t="n">
        <v>5</v>
      </c>
      <c r="G63" s="9" t="s">
        <v>547</v>
      </c>
      <c r="H63" s="9" t="s">
        <v>423</v>
      </c>
      <c r="I63" s="9" t="s">
        <v>424</v>
      </c>
      <c r="J63" s="9" t="s">
        <v>425</v>
      </c>
      <c r="K63" s="9"/>
    </row>
    <row r="64" customFormat="false" ht="15" hidden="false" customHeight="false" outlineLevel="0" collapsed="false">
      <c r="A64" s="8" t="s">
        <v>548</v>
      </c>
      <c r="B64" s="8" t="s">
        <v>387</v>
      </c>
      <c r="C64" s="8" t="s">
        <v>388</v>
      </c>
      <c r="D64" s="8" t="s">
        <v>79</v>
      </c>
      <c r="E64" s="8" t="s">
        <v>80</v>
      </c>
      <c r="F64" s="8" t="n">
        <v>4</v>
      </c>
      <c r="G64" s="8" t="s">
        <v>549</v>
      </c>
      <c r="H64" s="8" t="s">
        <v>423</v>
      </c>
      <c r="I64" s="8" t="s">
        <v>424</v>
      </c>
      <c r="J64" s="8" t="s">
        <v>425</v>
      </c>
      <c r="K64" s="8"/>
    </row>
    <row r="65" customFormat="false" ht="23.85" hidden="false" customHeight="false" outlineLevel="0" collapsed="false">
      <c r="A65" s="9" t="s">
        <v>550</v>
      </c>
      <c r="B65" s="9" t="s">
        <v>391</v>
      </c>
      <c r="C65" s="9" t="s">
        <v>392</v>
      </c>
      <c r="D65" s="9" t="s">
        <v>51</v>
      </c>
      <c r="E65" s="9" t="s">
        <v>52</v>
      </c>
      <c r="F65" s="9" t="n">
        <v>4</v>
      </c>
      <c r="G65" s="9" t="s">
        <v>551</v>
      </c>
      <c r="H65" s="9" t="s">
        <v>423</v>
      </c>
      <c r="I65" s="9" t="s">
        <v>424</v>
      </c>
      <c r="J65" s="9" t="s">
        <v>425</v>
      </c>
      <c r="K65" s="9"/>
    </row>
    <row r="66" customFormat="false" ht="15" hidden="false" customHeight="false" outlineLevel="0" collapsed="false">
      <c r="A66" s="8" t="s">
        <v>552</v>
      </c>
      <c r="B66" s="8" t="s">
        <v>391</v>
      </c>
      <c r="C66" s="8" t="s">
        <v>392</v>
      </c>
      <c r="D66" s="8" t="s">
        <v>71</v>
      </c>
      <c r="E66" s="8" t="s">
        <v>72</v>
      </c>
      <c r="F66" s="8" t="n">
        <v>4</v>
      </c>
      <c r="G66" s="8" t="s">
        <v>553</v>
      </c>
      <c r="H66" s="8" t="s">
        <v>423</v>
      </c>
      <c r="I66" s="8" t="s">
        <v>424</v>
      </c>
      <c r="J66" s="8" t="s">
        <v>425</v>
      </c>
      <c r="K66" s="8"/>
    </row>
    <row r="67" customFormat="false" ht="15" hidden="false" customHeight="false" outlineLevel="0" collapsed="false">
      <c r="A67" s="9" t="s">
        <v>554</v>
      </c>
      <c r="B67" s="9" t="s">
        <v>396</v>
      </c>
      <c r="C67" s="9" t="s">
        <v>397</v>
      </c>
      <c r="D67" s="9" t="s">
        <v>103</v>
      </c>
      <c r="E67" s="9" t="s">
        <v>104</v>
      </c>
      <c r="F67" s="9" t="n">
        <v>5</v>
      </c>
      <c r="G67" s="9" t="s">
        <v>555</v>
      </c>
      <c r="H67" s="9" t="s">
        <v>423</v>
      </c>
      <c r="I67" s="9" t="s">
        <v>424</v>
      </c>
      <c r="J67" s="9" t="s">
        <v>425</v>
      </c>
      <c r="K67" s="9"/>
    </row>
    <row r="68" customFormat="false" ht="15" hidden="false" customHeight="false" outlineLevel="0" collapsed="false">
      <c r="A68" s="8" t="s">
        <v>556</v>
      </c>
      <c r="B68" s="8" t="s">
        <v>396</v>
      </c>
      <c r="C68" s="8" t="s">
        <v>397</v>
      </c>
      <c r="D68" s="8" t="s">
        <v>83</v>
      </c>
      <c r="E68" s="8" t="s">
        <v>84</v>
      </c>
      <c r="F68" s="8" t="n">
        <v>3</v>
      </c>
      <c r="G68" s="8" t="s">
        <v>557</v>
      </c>
      <c r="H68" s="8" t="s">
        <v>111</v>
      </c>
      <c r="I68" s="8" t="s">
        <v>424</v>
      </c>
      <c r="J68" s="8" t="s">
        <v>425</v>
      </c>
      <c r="K68" s="8"/>
    </row>
    <row r="69" customFormat="false" ht="23.85" hidden="false" customHeight="false" outlineLevel="0" collapsed="false">
      <c r="A69" s="9" t="s">
        <v>558</v>
      </c>
      <c r="B69" s="9" t="s">
        <v>400</v>
      </c>
      <c r="C69" s="9" t="s">
        <v>401</v>
      </c>
      <c r="D69" s="9" t="s">
        <v>98</v>
      </c>
      <c r="E69" s="9" t="s">
        <v>99</v>
      </c>
      <c r="F69" s="9" t="n">
        <v>5</v>
      </c>
      <c r="G69" s="9" t="s">
        <v>559</v>
      </c>
      <c r="H69" s="9" t="s">
        <v>423</v>
      </c>
      <c r="I69" s="9" t="s">
        <v>424</v>
      </c>
      <c r="J69" s="9" t="s">
        <v>425</v>
      </c>
      <c r="K69" s="9"/>
    </row>
    <row r="70" customFormat="false" ht="15" hidden="false" customHeight="false" outlineLevel="0" collapsed="false">
      <c r="A70" s="8" t="s">
        <v>560</v>
      </c>
      <c r="B70" s="8" t="s">
        <v>400</v>
      </c>
      <c r="C70" s="8" t="s">
        <v>401</v>
      </c>
      <c r="D70" s="8" t="s">
        <v>103</v>
      </c>
      <c r="E70" s="8" t="s">
        <v>104</v>
      </c>
      <c r="F70" s="8" t="n">
        <v>4</v>
      </c>
      <c r="G70" s="8" t="s">
        <v>561</v>
      </c>
      <c r="H70" s="8" t="s">
        <v>423</v>
      </c>
      <c r="I70" s="8" t="s">
        <v>424</v>
      </c>
      <c r="J70" s="8" t="s">
        <v>425</v>
      </c>
      <c r="K70" s="8"/>
    </row>
    <row r="71" customFormat="false" ht="23.85" hidden="false" customHeight="false" outlineLevel="0" collapsed="false">
      <c r="A71" s="9" t="s">
        <v>562</v>
      </c>
      <c r="B71" s="9" t="s">
        <v>405</v>
      </c>
      <c r="C71" s="9" t="s">
        <v>406</v>
      </c>
      <c r="D71" s="9" t="s">
        <v>98</v>
      </c>
      <c r="E71" s="9" t="s">
        <v>99</v>
      </c>
      <c r="F71" s="9" t="n">
        <v>5</v>
      </c>
      <c r="G71" s="9" t="s">
        <v>563</v>
      </c>
      <c r="H71" s="9" t="s">
        <v>423</v>
      </c>
      <c r="I71" s="9" t="s">
        <v>424</v>
      </c>
      <c r="J71" s="9" t="s">
        <v>425</v>
      </c>
      <c r="K71" s="9"/>
    </row>
    <row r="72" customFormat="false" ht="23.85" hidden="false" customHeight="false" outlineLevel="0" collapsed="false">
      <c r="A72" s="8" t="s">
        <v>564</v>
      </c>
      <c r="B72" s="8" t="s">
        <v>405</v>
      </c>
      <c r="C72" s="8" t="s">
        <v>406</v>
      </c>
      <c r="D72" s="8" t="s">
        <v>51</v>
      </c>
      <c r="E72" s="8" t="s">
        <v>52</v>
      </c>
      <c r="F72" s="8" t="n">
        <v>5</v>
      </c>
      <c r="G72" s="8" t="s">
        <v>565</v>
      </c>
      <c r="H72" s="8" t="s">
        <v>423</v>
      </c>
      <c r="I72" s="8" t="s">
        <v>424</v>
      </c>
      <c r="J72" s="8" t="s">
        <v>425</v>
      </c>
      <c r="K72" s="8"/>
    </row>
    <row r="73" customFormat="false" ht="15" hidden="false" customHeight="false" outlineLevel="0" collapsed="false">
      <c r="A73" s="9" t="s">
        <v>566</v>
      </c>
      <c r="B73" s="9" t="s">
        <v>405</v>
      </c>
      <c r="C73" s="9" t="s">
        <v>406</v>
      </c>
      <c r="D73" s="9" t="s">
        <v>83</v>
      </c>
      <c r="E73" s="9" t="s">
        <v>84</v>
      </c>
      <c r="F73" s="9" t="n">
        <v>5</v>
      </c>
      <c r="G73" s="9" t="s">
        <v>567</v>
      </c>
      <c r="H73" s="9" t="s">
        <v>423</v>
      </c>
      <c r="I73" s="9" t="s">
        <v>424</v>
      </c>
      <c r="J73" s="9" t="s">
        <v>425</v>
      </c>
      <c r="K73" s="9"/>
    </row>
    <row r="74" customFormat="false" ht="15" hidden="false" customHeight="false" outlineLevel="0" collapsed="false">
      <c r="A74" s="8" t="s">
        <v>568</v>
      </c>
      <c r="B74" s="8" t="s">
        <v>410</v>
      </c>
      <c r="C74" s="8" t="s">
        <v>411</v>
      </c>
      <c r="D74" s="8" t="s">
        <v>57</v>
      </c>
      <c r="E74" s="8" t="s">
        <v>58</v>
      </c>
      <c r="F74" s="8" t="n">
        <v>5</v>
      </c>
      <c r="G74" s="8" t="s">
        <v>569</v>
      </c>
      <c r="H74" s="8" t="s">
        <v>423</v>
      </c>
      <c r="I74" s="8" t="s">
        <v>424</v>
      </c>
      <c r="J74" s="8" t="s">
        <v>425</v>
      </c>
      <c r="K74" s="8"/>
    </row>
    <row r="75" customFormat="false" ht="15" hidden="false" customHeight="false" outlineLevel="0" collapsed="false">
      <c r="A75" s="9" t="s">
        <v>570</v>
      </c>
      <c r="B75" s="9" t="s">
        <v>410</v>
      </c>
      <c r="C75" s="9" t="s">
        <v>411</v>
      </c>
      <c r="D75" s="9" t="s">
        <v>75</v>
      </c>
      <c r="E75" s="9" t="s">
        <v>76</v>
      </c>
      <c r="F75" s="9" t="n">
        <v>4</v>
      </c>
      <c r="G75" s="9" t="s">
        <v>571</v>
      </c>
      <c r="H75" s="9" t="s">
        <v>423</v>
      </c>
      <c r="I75" s="9" t="s">
        <v>424</v>
      </c>
      <c r="J75" s="9" t="s">
        <v>425</v>
      </c>
      <c r="K75" s="9"/>
    </row>
    <row r="76" customFormat="false" ht="15" hidden="false" customHeight="false" outlineLevel="0" collapsed="false">
      <c r="A76" s="8" t="s">
        <v>572</v>
      </c>
      <c r="B76" s="8" t="s">
        <v>410</v>
      </c>
      <c r="C76" s="8" t="s">
        <v>411</v>
      </c>
      <c r="D76" s="8" t="s">
        <v>67</v>
      </c>
      <c r="E76" s="8" t="s">
        <v>68</v>
      </c>
      <c r="F76" s="8" t="n">
        <v>3</v>
      </c>
      <c r="G76" s="8" t="s">
        <v>573</v>
      </c>
      <c r="H76" s="8" t="s">
        <v>111</v>
      </c>
      <c r="I76" s="8" t="s">
        <v>424</v>
      </c>
      <c r="J76" s="8" t="s">
        <v>425</v>
      </c>
      <c r="K76" s="8"/>
    </row>
  </sheetData>
  <conditionalFormatting sqref="H2:H76">
    <cfRule type="expression" priority="2" aboveAverage="0" equalAverage="0" bottom="0" percent="0" rank="0" text="" dxfId="0">
      <formula>EXACT($H2,"High")</formula>
    </cfRule>
    <cfRule type="expression" priority="3" aboveAverage="0" equalAverage="0" bottom="0" percent="0" rank="0" text="" dxfId="1">
      <formula>EXACT($H2,"Medium")</formula>
    </cfRule>
    <cfRule type="expression" priority="4" aboveAverage="0" equalAverage="0" bottom="0" percent="0" rank="0" text="" dxfId="2">
      <formula>EXACT($H2,"Low")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E3F"/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2"/>
    <col collapsed="false" customWidth="true" hidden="false" outlineLevel="0" max="3" min="3" style="0" width="10"/>
    <col collapsed="false" customWidth="true" hidden="false" outlineLevel="0" max="4" min="4" style="0" width="28"/>
    <col collapsed="false" customWidth="true" hidden="false" outlineLevel="0" max="5" min="5" style="0" width="14"/>
    <col collapsed="false" customWidth="true" hidden="false" outlineLevel="0" max="6" min="6" style="0" width="22"/>
    <col collapsed="false" customWidth="true" hidden="false" outlineLevel="0" max="7" min="7" style="0" width="55"/>
    <col collapsed="false" customWidth="true" hidden="false" outlineLevel="0" max="8" min="8" style="0" width="60"/>
  </cols>
  <sheetData>
    <row r="1" customFormat="false" ht="27.75" hidden="false" customHeight="true" outlineLevel="0" collapsed="false">
      <c r="A1" s="7" t="s">
        <v>574</v>
      </c>
      <c r="B1" s="7" t="s">
        <v>575</v>
      </c>
      <c r="C1" s="7" t="s">
        <v>243</v>
      </c>
      <c r="D1" s="7" t="s">
        <v>244</v>
      </c>
      <c r="E1" s="7" t="s">
        <v>576</v>
      </c>
      <c r="F1" s="7" t="s">
        <v>577</v>
      </c>
      <c r="G1" s="7" t="s">
        <v>578</v>
      </c>
      <c r="H1" s="7" t="s">
        <v>579</v>
      </c>
    </row>
    <row r="2" customFormat="false" ht="35.05" hidden="false" customHeight="false" outlineLevel="0" collapsed="false">
      <c r="A2" s="8" t="s">
        <v>580</v>
      </c>
      <c r="B2" s="8" t="s">
        <v>581</v>
      </c>
      <c r="C2" s="8" t="s">
        <v>252</v>
      </c>
      <c r="D2" s="8" t="s">
        <v>253</v>
      </c>
      <c r="E2" s="8" t="s">
        <v>582</v>
      </c>
      <c r="F2" s="8" t="s">
        <v>583</v>
      </c>
      <c r="G2" s="8" t="s">
        <v>584</v>
      </c>
      <c r="H2" s="8" t="s">
        <v>585</v>
      </c>
    </row>
    <row r="3" customFormat="false" ht="23.85" hidden="false" customHeight="false" outlineLevel="0" collapsed="false">
      <c r="A3" s="9" t="s">
        <v>586</v>
      </c>
      <c r="B3" s="9" t="s">
        <v>587</v>
      </c>
      <c r="C3" s="9" t="s">
        <v>260</v>
      </c>
      <c r="D3" s="9" t="s">
        <v>261</v>
      </c>
      <c r="E3" s="9" t="s">
        <v>582</v>
      </c>
      <c r="F3" s="9" t="s">
        <v>588</v>
      </c>
      <c r="G3" s="9" t="s">
        <v>589</v>
      </c>
      <c r="H3" s="9" t="s">
        <v>590</v>
      </c>
    </row>
    <row r="4" customFormat="false" ht="23.85" hidden="false" customHeight="false" outlineLevel="0" collapsed="false">
      <c r="A4" s="8" t="s">
        <v>591</v>
      </c>
      <c r="B4" s="8" t="s">
        <v>592</v>
      </c>
      <c r="C4" s="8" t="s">
        <v>266</v>
      </c>
      <c r="D4" s="8" t="s">
        <v>267</v>
      </c>
      <c r="E4" s="8" t="s">
        <v>582</v>
      </c>
      <c r="F4" s="8" t="s">
        <v>593</v>
      </c>
      <c r="G4" s="8" t="s">
        <v>594</v>
      </c>
      <c r="H4" s="8" t="s">
        <v>595</v>
      </c>
    </row>
    <row r="5" customFormat="false" ht="23.85" hidden="false" customHeight="false" outlineLevel="0" collapsed="false">
      <c r="A5" s="9" t="s">
        <v>596</v>
      </c>
      <c r="B5" s="9" t="s">
        <v>597</v>
      </c>
      <c r="C5" s="9" t="s">
        <v>273</v>
      </c>
      <c r="D5" s="9" t="s">
        <v>274</v>
      </c>
      <c r="E5" s="9" t="s">
        <v>582</v>
      </c>
      <c r="F5" s="9" t="s">
        <v>598</v>
      </c>
      <c r="G5" s="9" t="s">
        <v>599</v>
      </c>
      <c r="H5" s="9" t="s">
        <v>600</v>
      </c>
    </row>
    <row r="6" customFormat="false" ht="23.85" hidden="false" customHeight="false" outlineLevel="0" collapsed="false">
      <c r="A6" s="8" t="s">
        <v>601</v>
      </c>
      <c r="B6" s="8" t="s">
        <v>602</v>
      </c>
      <c r="C6" s="8" t="s">
        <v>278</v>
      </c>
      <c r="D6" s="8" t="s">
        <v>279</v>
      </c>
      <c r="E6" s="8" t="s">
        <v>582</v>
      </c>
      <c r="F6" s="8" t="s">
        <v>603</v>
      </c>
      <c r="G6" s="8" t="s">
        <v>604</v>
      </c>
      <c r="H6" s="8" t="s">
        <v>605</v>
      </c>
    </row>
    <row r="7" customFormat="false" ht="23.85" hidden="false" customHeight="false" outlineLevel="0" collapsed="false">
      <c r="A7" s="9" t="s">
        <v>606</v>
      </c>
      <c r="B7" s="9" t="s">
        <v>607</v>
      </c>
      <c r="C7" s="9" t="s">
        <v>283</v>
      </c>
      <c r="D7" s="9" t="s">
        <v>284</v>
      </c>
      <c r="E7" s="9" t="s">
        <v>582</v>
      </c>
      <c r="F7" s="9" t="s">
        <v>608</v>
      </c>
      <c r="G7" s="9" t="s">
        <v>609</v>
      </c>
      <c r="H7" s="9" t="s">
        <v>610</v>
      </c>
    </row>
    <row r="8" customFormat="false" ht="23.85" hidden="false" customHeight="false" outlineLevel="0" collapsed="false">
      <c r="A8" s="8" t="s">
        <v>611</v>
      </c>
      <c r="B8" s="8" t="s">
        <v>612</v>
      </c>
      <c r="C8" s="8" t="s">
        <v>298</v>
      </c>
      <c r="D8" s="8" t="s">
        <v>299</v>
      </c>
      <c r="E8" s="8" t="s">
        <v>582</v>
      </c>
      <c r="F8" s="8" t="s">
        <v>613</v>
      </c>
      <c r="G8" s="8" t="s">
        <v>614</v>
      </c>
      <c r="H8" s="8" t="s">
        <v>615</v>
      </c>
    </row>
    <row r="9" customFormat="false" ht="23.85" hidden="false" customHeight="false" outlineLevel="0" collapsed="false">
      <c r="A9" s="9" t="s">
        <v>616</v>
      </c>
      <c r="B9" s="9" t="s">
        <v>617</v>
      </c>
      <c r="C9" s="9" t="s">
        <v>309</v>
      </c>
      <c r="D9" s="9" t="s">
        <v>310</v>
      </c>
      <c r="E9" s="9" t="s">
        <v>582</v>
      </c>
      <c r="F9" s="9" t="s">
        <v>598</v>
      </c>
      <c r="G9" s="9" t="s">
        <v>618</v>
      </c>
      <c r="H9" s="9" t="s">
        <v>619</v>
      </c>
    </row>
    <row r="10" customFormat="false" ht="23.85" hidden="false" customHeight="false" outlineLevel="0" collapsed="false">
      <c r="A10" s="8" t="s">
        <v>620</v>
      </c>
      <c r="B10" s="8" t="s">
        <v>621</v>
      </c>
      <c r="C10" s="8" t="s">
        <v>315</v>
      </c>
      <c r="D10" s="8" t="s">
        <v>316</v>
      </c>
      <c r="E10" s="8" t="s">
        <v>582</v>
      </c>
      <c r="F10" s="8" t="s">
        <v>588</v>
      </c>
      <c r="G10" s="8" t="s">
        <v>622</v>
      </c>
      <c r="H10" s="8" t="s">
        <v>623</v>
      </c>
    </row>
    <row r="11" customFormat="false" ht="23.85" hidden="false" customHeight="false" outlineLevel="0" collapsed="false">
      <c r="A11" s="9" t="s">
        <v>624</v>
      </c>
      <c r="B11" s="9" t="s">
        <v>625</v>
      </c>
      <c r="C11" s="9" t="s">
        <v>405</v>
      </c>
      <c r="D11" s="9" t="s">
        <v>406</v>
      </c>
      <c r="E11" s="9" t="s">
        <v>582</v>
      </c>
      <c r="F11" s="9" t="s">
        <v>626</v>
      </c>
      <c r="G11" s="9" t="s">
        <v>627</v>
      </c>
      <c r="H11" s="9" t="s">
        <v>628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C4DF6"/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4" min="3" style="0" width="28"/>
    <col collapsed="false" customWidth="true" hidden="false" outlineLevel="0" max="5" min="5" style="0" width="32"/>
    <col collapsed="false" customWidth="true" hidden="false" outlineLevel="0" max="6" min="6" style="0" width="18"/>
    <col collapsed="false" customWidth="true" hidden="false" outlineLevel="0" max="7" min="7" style="0" width="50"/>
    <col collapsed="false" customWidth="true" hidden="false" outlineLevel="0" max="8" min="8" style="0" width="32"/>
  </cols>
  <sheetData>
    <row r="1" customFormat="false" ht="19.7" hidden="false" customHeight="false" outlineLevel="0" collapsed="false">
      <c r="A1" s="1" t="s">
        <v>629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630</v>
      </c>
      <c r="B2" s="2"/>
      <c r="C2" s="2"/>
      <c r="D2" s="2"/>
      <c r="E2" s="2"/>
      <c r="F2" s="2"/>
      <c r="G2" s="2"/>
      <c r="H2" s="2"/>
    </row>
    <row r="4" customFormat="false" ht="27.75" hidden="false" customHeight="true" outlineLevel="0" collapsed="false">
      <c r="A4" s="7" t="s">
        <v>420</v>
      </c>
      <c r="B4" s="7" t="s">
        <v>631</v>
      </c>
      <c r="C4" s="7" t="s">
        <v>632</v>
      </c>
      <c r="D4" s="7" t="s">
        <v>633</v>
      </c>
      <c r="E4" s="7" t="s">
        <v>634</v>
      </c>
      <c r="F4" s="7" t="s">
        <v>635</v>
      </c>
      <c r="G4" s="7" t="s">
        <v>636</v>
      </c>
      <c r="H4" s="7" t="s">
        <v>637</v>
      </c>
    </row>
    <row r="5" customFormat="false" ht="23.85" hidden="false" customHeight="false" outlineLevel="0" collapsed="false">
      <c r="A5" s="10" t="s">
        <v>638</v>
      </c>
      <c r="B5" s="10" t="s">
        <v>638</v>
      </c>
      <c r="C5" s="10" t="s">
        <v>639</v>
      </c>
      <c r="D5" s="10" t="s">
        <v>640</v>
      </c>
      <c r="E5" s="10" t="s">
        <v>641</v>
      </c>
      <c r="F5" s="10" t="s">
        <v>642</v>
      </c>
      <c r="G5" s="10" t="s">
        <v>643</v>
      </c>
      <c r="H5" s="10" t="s">
        <v>644</v>
      </c>
    </row>
    <row r="6" customFormat="false" ht="15" hidden="false" customHeight="false" outlineLevel="0" collapsed="false">
      <c r="A6" s="8"/>
      <c r="B6" s="8"/>
      <c r="C6" s="8"/>
      <c r="D6" s="8"/>
      <c r="E6" s="8"/>
      <c r="F6" s="8"/>
      <c r="G6" s="8"/>
      <c r="H6" s="8"/>
    </row>
    <row r="7" customFormat="false" ht="15" hidden="false" customHeight="false" outlineLevel="0" collapsed="false">
      <c r="A7" s="9"/>
      <c r="B7" s="9"/>
      <c r="C7" s="9"/>
      <c r="D7" s="9"/>
      <c r="E7" s="9"/>
      <c r="F7" s="9"/>
      <c r="G7" s="9"/>
      <c r="H7" s="9"/>
    </row>
    <row r="8" customFormat="false" ht="15" hidden="false" customHeight="false" outlineLevel="0" collapsed="false">
      <c r="A8" s="8"/>
      <c r="B8" s="8"/>
      <c r="C8" s="8"/>
      <c r="D8" s="8"/>
      <c r="E8" s="8"/>
      <c r="F8" s="8"/>
      <c r="G8" s="8"/>
      <c r="H8" s="8"/>
    </row>
    <row r="9" customFormat="false" ht="15" hidden="false" customHeight="false" outlineLevel="0" collapsed="false">
      <c r="A9" s="9"/>
      <c r="B9" s="9"/>
      <c r="C9" s="9"/>
      <c r="D9" s="9"/>
      <c r="E9" s="9"/>
      <c r="F9" s="9"/>
      <c r="G9" s="9"/>
      <c r="H9" s="9"/>
    </row>
    <row r="10" customFormat="false" ht="15" hidden="false" customHeight="false" outlineLevel="0" collapsed="false">
      <c r="A10" s="8"/>
      <c r="B10" s="8"/>
      <c r="C10" s="8"/>
      <c r="D10" s="8"/>
      <c r="E10" s="8"/>
      <c r="F10" s="8"/>
      <c r="G10" s="8"/>
      <c r="H10" s="8"/>
    </row>
    <row r="11" customFormat="false" ht="15" hidden="false" customHeight="false" outlineLevel="0" collapsed="false">
      <c r="A11" s="9"/>
      <c r="B11" s="9"/>
      <c r="C11" s="9"/>
      <c r="D11" s="9"/>
      <c r="E11" s="9"/>
      <c r="F11" s="9"/>
      <c r="G11" s="9"/>
      <c r="H11" s="9"/>
    </row>
    <row r="12" customFormat="false" ht="15" hidden="false" customHeight="false" outlineLevel="0" collapsed="false">
      <c r="A12" s="8"/>
      <c r="B12" s="8"/>
      <c r="C12" s="8"/>
      <c r="D12" s="8"/>
      <c r="E12" s="8"/>
      <c r="F12" s="8"/>
      <c r="G12" s="8"/>
      <c r="H12" s="8"/>
    </row>
    <row r="13" customFormat="false" ht="15" hidden="false" customHeight="false" outlineLevel="0" collapsed="false">
      <c r="A13" s="9"/>
      <c r="B13" s="9"/>
      <c r="C13" s="9"/>
      <c r="D13" s="9"/>
      <c r="E13" s="9"/>
      <c r="F13" s="9"/>
      <c r="G13" s="9"/>
      <c r="H13" s="9"/>
    </row>
    <row r="14" customFormat="false" ht="15" hidden="false" customHeight="false" outlineLevel="0" collapsed="false">
      <c r="A14" s="8"/>
      <c r="B14" s="8"/>
      <c r="C14" s="8"/>
      <c r="D14" s="8"/>
      <c r="E14" s="8"/>
      <c r="F14" s="8"/>
      <c r="G14" s="8"/>
      <c r="H14" s="8"/>
    </row>
    <row r="15" customFormat="false" ht="15" hidden="false" customHeight="false" outlineLevel="0" collapsed="false">
      <c r="A15" s="9"/>
      <c r="B15" s="9"/>
      <c r="C15" s="9"/>
      <c r="D15" s="9"/>
      <c r="E15" s="9"/>
      <c r="F15" s="9"/>
      <c r="G15" s="9"/>
      <c r="H15" s="9"/>
    </row>
    <row r="16" customFormat="false" ht="15" hidden="false" customHeight="false" outlineLevel="0" collapsed="false">
      <c r="A16" s="8"/>
      <c r="B16" s="8"/>
      <c r="C16" s="8"/>
      <c r="D16" s="8"/>
      <c r="E16" s="8"/>
      <c r="F16" s="8"/>
      <c r="G16" s="8"/>
      <c r="H16" s="8"/>
    </row>
    <row r="17" customFormat="false" ht="15" hidden="false" customHeight="false" outlineLevel="0" collapsed="false">
      <c r="A17" s="9"/>
      <c r="B17" s="9"/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A18" s="8"/>
      <c r="B18" s="8"/>
      <c r="C18" s="8"/>
      <c r="D18" s="8"/>
      <c r="E18" s="8"/>
      <c r="F18" s="8"/>
      <c r="G18" s="8"/>
      <c r="H18" s="8"/>
    </row>
    <row r="19" customFormat="false" ht="15" hidden="false" customHeight="false" outlineLevel="0" collapsed="false">
      <c r="A19" s="9"/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8"/>
      <c r="B20" s="8"/>
      <c r="C20" s="8"/>
      <c r="D20" s="8"/>
      <c r="E20" s="8"/>
      <c r="F20" s="8"/>
      <c r="G20" s="8"/>
      <c r="H20" s="8"/>
    </row>
    <row r="21" customFormat="false" ht="15" hidden="false" customHeight="false" outlineLevel="0" collapsed="false">
      <c r="A21" s="9"/>
      <c r="B21" s="9"/>
      <c r="C21" s="9"/>
      <c r="D21" s="9"/>
      <c r="E21" s="9"/>
      <c r="F21" s="9"/>
      <c r="G21" s="9"/>
      <c r="H21" s="9"/>
    </row>
    <row r="22" customFormat="false" ht="15" hidden="false" customHeight="false" outlineLevel="0" collapsed="false">
      <c r="A22" s="8"/>
      <c r="B22" s="8"/>
      <c r="C22" s="8"/>
      <c r="D22" s="8"/>
      <c r="E22" s="8"/>
      <c r="F22" s="8"/>
      <c r="G22" s="8"/>
      <c r="H22" s="8"/>
    </row>
    <row r="23" customFormat="false" ht="15" hidden="false" customHeight="false" outlineLevel="0" collapsed="false">
      <c r="A23" s="9"/>
      <c r="B23" s="9"/>
      <c r="C23" s="9"/>
      <c r="D23" s="9"/>
      <c r="E23" s="9"/>
      <c r="F23" s="9"/>
      <c r="G23" s="9"/>
      <c r="H23" s="9"/>
    </row>
    <row r="24" customFormat="false" ht="15" hidden="false" customHeight="false" outlineLevel="0" collapsed="false">
      <c r="A24" s="8"/>
      <c r="B24" s="8"/>
      <c r="C24" s="8"/>
      <c r="D24" s="8"/>
      <c r="E24" s="8"/>
      <c r="F24" s="8"/>
      <c r="G24" s="8"/>
      <c r="H24" s="8"/>
    </row>
    <row r="25" customFormat="false" ht="15" hidden="false" customHeight="false" outlineLevel="0" collapsed="false">
      <c r="A25" s="9"/>
      <c r="B25" s="9"/>
      <c r="C25" s="9"/>
      <c r="D25" s="9"/>
      <c r="E25" s="9"/>
      <c r="F25" s="9"/>
      <c r="G25" s="9"/>
      <c r="H25" s="9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9D55"/>
    <pageSetUpPr fitToPage="false"/>
  </sheetPr>
  <dimension ref="A1:J6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6" min="6" style="0" width="50"/>
    <col collapsed="false" customWidth="true" hidden="false" outlineLevel="0" max="7" min="7" style="0" width="10"/>
    <col collapsed="false" customWidth="true" hidden="false" outlineLevel="0" max="9" min="9" style="0" width="24"/>
    <col collapsed="false" customWidth="true" hidden="false" outlineLevel="0" max="10" min="10" style="0" width="14"/>
  </cols>
  <sheetData>
    <row r="1" customFormat="false" ht="19.7" hidden="false" customHeight="false" outlineLevel="0" collapsed="false">
      <c r="A1" s="1" t="s">
        <v>645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646</v>
      </c>
      <c r="B2" s="2"/>
      <c r="C2" s="2"/>
      <c r="D2" s="2"/>
      <c r="E2" s="2"/>
      <c r="F2" s="2"/>
      <c r="G2" s="2"/>
    </row>
    <row r="4" customFormat="false" ht="27.75" hidden="false" customHeight="true" outlineLevel="0" collapsed="false">
      <c r="A4" s="7" t="s">
        <v>647</v>
      </c>
      <c r="B4" s="7" t="s">
        <v>420</v>
      </c>
      <c r="C4" s="7" t="s">
        <v>648</v>
      </c>
      <c r="D4" s="7" t="s">
        <v>649</v>
      </c>
      <c r="E4" s="7" t="s">
        <v>650</v>
      </c>
      <c r="F4" s="7" t="s">
        <v>651</v>
      </c>
      <c r="G4" s="7" t="s">
        <v>652</v>
      </c>
      <c r="I4" s="11" t="s">
        <v>653</v>
      </c>
    </row>
    <row r="5" customFormat="false" ht="15" hidden="false" customHeight="false" outlineLevel="0" collapsed="false">
      <c r="A5" s="12" t="n">
        <v>1</v>
      </c>
      <c r="B5" s="9"/>
      <c r="C5" s="9"/>
      <c r="D5" s="9"/>
      <c r="E5" s="9"/>
      <c r="F5" s="9"/>
      <c r="G5" s="13" t="n">
        <f aca="false">IF(E5&gt;0,1,0)</f>
        <v>0</v>
      </c>
      <c r="I5" s="14" t="s">
        <v>654</v>
      </c>
      <c r="J5" s="12" t="n">
        <f aca="false">COUNTIF(E5:E64,"&gt;0")</f>
        <v>0</v>
      </c>
    </row>
    <row r="6" customFormat="false" ht="15" hidden="false" customHeight="false" outlineLevel="0" collapsed="false">
      <c r="A6" s="15" t="n">
        <v>2</v>
      </c>
      <c r="B6" s="8"/>
      <c r="C6" s="8"/>
      <c r="D6" s="8"/>
      <c r="E6" s="8"/>
      <c r="F6" s="8"/>
      <c r="G6" s="16" t="n">
        <f aca="false">IF(E6&gt;0,G5+1,0)</f>
        <v>0</v>
      </c>
      <c r="I6" s="14" t="s">
        <v>655</v>
      </c>
      <c r="J6" s="12" t="n">
        <f aca="false">SUM(C5:C64)</f>
        <v>0</v>
      </c>
    </row>
    <row r="7" customFormat="false" ht="15" hidden="false" customHeight="false" outlineLevel="0" collapsed="false">
      <c r="A7" s="12" t="n">
        <v>3</v>
      </c>
      <c r="B7" s="9"/>
      <c r="C7" s="9"/>
      <c r="D7" s="9"/>
      <c r="E7" s="9"/>
      <c r="F7" s="9"/>
      <c r="G7" s="13" t="n">
        <f aca="false">IF(E7&gt;0,G6+1,0)</f>
        <v>0</v>
      </c>
      <c r="I7" s="14" t="s">
        <v>656</v>
      </c>
      <c r="J7" s="12" t="n">
        <f aca="false">SUM(D5:D64)</f>
        <v>0</v>
      </c>
    </row>
    <row r="8" customFormat="false" ht="15" hidden="false" customHeight="false" outlineLevel="0" collapsed="false">
      <c r="A8" s="15" t="n">
        <v>4</v>
      </c>
      <c r="B8" s="8"/>
      <c r="C8" s="8"/>
      <c r="D8" s="8"/>
      <c r="E8" s="8"/>
      <c r="F8" s="8"/>
      <c r="G8" s="16" t="n">
        <f aca="false">IF(E8&gt;0,G7+1,0)</f>
        <v>0</v>
      </c>
      <c r="I8" s="14" t="s">
        <v>657</v>
      </c>
      <c r="J8" s="12" t="n">
        <f aca="false">SUM(E5:E64)/60</f>
        <v>0</v>
      </c>
    </row>
    <row r="9" customFormat="false" ht="15" hidden="false" customHeight="false" outlineLevel="0" collapsed="false">
      <c r="A9" s="12" t="n">
        <v>5</v>
      </c>
      <c r="B9" s="9"/>
      <c r="C9" s="9"/>
      <c r="D9" s="9"/>
      <c r="E9" s="9"/>
      <c r="F9" s="9"/>
      <c r="G9" s="13" t="n">
        <f aca="false">IF(E9&gt;0,G8+1,0)</f>
        <v>0</v>
      </c>
      <c r="I9" s="14" t="s">
        <v>658</v>
      </c>
      <c r="J9" s="12" t="n">
        <f aca="false">MAX(G5:G64)</f>
        <v>0</v>
      </c>
    </row>
    <row r="10" customFormat="false" ht="15" hidden="false" customHeight="false" outlineLevel="0" collapsed="false">
      <c r="A10" s="15" t="n">
        <v>6</v>
      </c>
      <c r="B10" s="8"/>
      <c r="C10" s="8"/>
      <c r="D10" s="8"/>
      <c r="E10" s="8"/>
      <c r="F10" s="8"/>
      <c r="G10" s="16" t="n">
        <f aca="false">IF(E10&gt;0,G9+1,0)</f>
        <v>0</v>
      </c>
    </row>
    <row r="11" customFormat="false" ht="15" hidden="false" customHeight="false" outlineLevel="0" collapsed="false">
      <c r="A11" s="12" t="n">
        <v>7</v>
      </c>
      <c r="B11" s="9"/>
      <c r="C11" s="9"/>
      <c r="D11" s="9"/>
      <c r="E11" s="9"/>
      <c r="F11" s="9"/>
      <c r="G11" s="13" t="n">
        <f aca="false">IF(E11&gt;0,G10+1,0)</f>
        <v>0</v>
      </c>
    </row>
    <row r="12" customFormat="false" ht="15" hidden="false" customHeight="false" outlineLevel="0" collapsed="false">
      <c r="A12" s="15" t="n">
        <v>8</v>
      </c>
      <c r="B12" s="8"/>
      <c r="C12" s="8"/>
      <c r="D12" s="8"/>
      <c r="E12" s="8"/>
      <c r="F12" s="8"/>
      <c r="G12" s="16" t="n">
        <f aca="false">IF(E12&gt;0,G11+1,0)</f>
        <v>0</v>
      </c>
    </row>
    <row r="13" customFormat="false" ht="15" hidden="false" customHeight="false" outlineLevel="0" collapsed="false">
      <c r="A13" s="12" t="n">
        <v>9</v>
      </c>
      <c r="B13" s="9"/>
      <c r="C13" s="9"/>
      <c r="D13" s="9"/>
      <c r="E13" s="9"/>
      <c r="F13" s="9"/>
      <c r="G13" s="13" t="n">
        <f aca="false">IF(E13&gt;0,G12+1,0)</f>
        <v>0</v>
      </c>
    </row>
    <row r="14" customFormat="false" ht="15" hidden="false" customHeight="false" outlineLevel="0" collapsed="false">
      <c r="A14" s="15" t="n">
        <v>10</v>
      </c>
      <c r="B14" s="8"/>
      <c r="C14" s="8"/>
      <c r="D14" s="8"/>
      <c r="E14" s="8"/>
      <c r="F14" s="8"/>
      <c r="G14" s="16" t="n">
        <f aca="false">IF(E14&gt;0,G13+1,0)</f>
        <v>0</v>
      </c>
    </row>
    <row r="15" customFormat="false" ht="15" hidden="false" customHeight="false" outlineLevel="0" collapsed="false">
      <c r="A15" s="12" t="n">
        <v>11</v>
      </c>
      <c r="B15" s="9"/>
      <c r="C15" s="9"/>
      <c r="D15" s="9"/>
      <c r="E15" s="9"/>
      <c r="F15" s="9"/>
      <c r="G15" s="13" t="n">
        <f aca="false">IF(E15&gt;0,G14+1,0)</f>
        <v>0</v>
      </c>
    </row>
    <row r="16" customFormat="false" ht="15" hidden="false" customHeight="false" outlineLevel="0" collapsed="false">
      <c r="A16" s="15" t="n">
        <v>12</v>
      </c>
      <c r="B16" s="8"/>
      <c r="C16" s="8"/>
      <c r="D16" s="8"/>
      <c r="E16" s="8"/>
      <c r="F16" s="8"/>
      <c r="G16" s="16" t="n">
        <f aca="false">IF(E16&gt;0,G15+1,0)</f>
        <v>0</v>
      </c>
    </row>
    <row r="17" customFormat="false" ht="15" hidden="false" customHeight="false" outlineLevel="0" collapsed="false">
      <c r="A17" s="12" t="n">
        <v>13</v>
      </c>
      <c r="B17" s="9"/>
      <c r="C17" s="9"/>
      <c r="D17" s="9"/>
      <c r="E17" s="9"/>
      <c r="F17" s="9"/>
      <c r="G17" s="13" t="n">
        <f aca="false">IF(E17&gt;0,G16+1,0)</f>
        <v>0</v>
      </c>
    </row>
    <row r="18" customFormat="false" ht="15" hidden="false" customHeight="false" outlineLevel="0" collapsed="false">
      <c r="A18" s="15" t="n">
        <v>14</v>
      </c>
      <c r="B18" s="8"/>
      <c r="C18" s="8"/>
      <c r="D18" s="8"/>
      <c r="E18" s="8"/>
      <c r="F18" s="8"/>
      <c r="G18" s="16" t="n">
        <f aca="false">IF(E18&gt;0,G17+1,0)</f>
        <v>0</v>
      </c>
    </row>
    <row r="19" customFormat="false" ht="15" hidden="false" customHeight="false" outlineLevel="0" collapsed="false">
      <c r="A19" s="12" t="n">
        <v>15</v>
      </c>
      <c r="B19" s="9"/>
      <c r="C19" s="9"/>
      <c r="D19" s="9"/>
      <c r="E19" s="9"/>
      <c r="F19" s="9"/>
      <c r="G19" s="13" t="n">
        <f aca="false">IF(E19&gt;0,G18+1,0)</f>
        <v>0</v>
      </c>
    </row>
    <row r="20" customFormat="false" ht="15" hidden="false" customHeight="false" outlineLevel="0" collapsed="false">
      <c r="A20" s="15" t="n">
        <v>16</v>
      </c>
      <c r="B20" s="8"/>
      <c r="C20" s="8"/>
      <c r="D20" s="8"/>
      <c r="E20" s="8"/>
      <c r="F20" s="8"/>
      <c r="G20" s="16" t="n">
        <f aca="false">IF(E20&gt;0,G19+1,0)</f>
        <v>0</v>
      </c>
    </row>
    <row r="21" customFormat="false" ht="15" hidden="false" customHeight="false" outlineLevel="0" collapsed="false">
      <c r="A21" s="12" t="n">
        <v>17</v>
      </c>
      <c r="B21" s="9"/>
      <c r="C21" s="9"/>
      <c r="D21" s="9"/>
      <c r="E21" s="9"/>
      <c r="F21" s="9"/>
      <c r="G21" s="13" t="n">
        <f aca="false">IF(E21&gt;0,G20+1,0)</f>
        <v>0</v>
      </c>
    </row>
    <row r="22" customFormat="false" ht="15" hidden="false" customHeight="false" outlineLevel="0" collapsed="false">
      <c r="A22" s="15" t="n">
        <v>18</v>
      </c>
      <c r="B22" s="8"/>
      <c r="C22" s="8"/>
      <c r="D22" s="8"/>
      <c r="E22" s="8"/>
      <c r="F22" s="8"/>
      <c r="G22" s="16" t="n">
        <f aca="false">IF(E22&gt;0,G21+1,0)</f>
        <v>0</v>
      </c>
    </row>
    <row r="23" customFormat="false" ht="15" hidden="false" customHeight="false" outlineLevel="0" collapsed="false">
      <c r="A23" s="12" t="n">
        <v>19</v>
      </c>
      <c r="B23" s="9"/>
      <c r="C23" s="9"/>
      <c r="D23" s="9"/>
      <c r="E23" s="9"/>
      <c r="F23" s="9"/>
      <c r="G23" s="13" t="n">
        <f aca="false">IF(E23&gt;0,G22+1,0)</f>
        <v>0</v>
      </c>
    </row>
    <row r="24" customFormat="false" ht="15" hidden="false" customHeight="false" outlineLevel="0" collapsed="false">
      <c r="A24" s="15" t="n">
        <v>20</v>
      </c>
      <c r="B24" s="8"/>
      <c r="C24" s="8"/>
      <c r="D24" s="8"/>
      <c r="E24" s="8"/>
      <c r="F24" s="8"/>
      <c r="G24" s="16" t="n">
        <f aca="false">IF(E24&gt;0,G23+1,0)</f>
        <v>0</v>
      </c>
    </row>
    <row r="25" customFormat="false" ht="15" hidden="false" customHeight="false" outlineLevel="0" collapsed="false">
      <c r="A25" s="12" t="n">
        <v>21</v>
      </c>
      <c r="B25" s="9"/>
      <c r="C25" s="9"/>
      <c r="D25" s="9"/>
      <c r="E25" s="9"/>
      <c r="F25" s="9"/>
      <c r="G25" s="13" t="n">
        <f aca="false">IF(E25&gt;0,G24+1,0)</f>
        <v>0</v>
      </c>
    </row>
    <row r="26" customFormat="false" ht="15" hidden="false" customHeight="false" outlineLevel="0" collapsed="false">
      <c r="A26" s="15" t="n">
        <v>22</v>
      </c>
      <c r="B26" s="8"/>
      <c r="C26" s="8"/>
      <c r="D26" s="8"/>
      <c r="E26" s="8"/>
      <c r="F26" s="8"/>
      <c r="G26" s="16" t="n">
        <f aca="false">IF(E26&gt;0,G25+1,0)</f>
        <v>0</v>
      </c>
    </row>
    <row r="27" customFormat="false" ht="15" hidden="false" customHeight="false" outlineLevel="0" collapsed="false">
      <c r="A27" s="12" t="n">
        <v>23</v>
      </c>
      <c r="B27" s="9"/>
      <c r="C27" s="9"/>
      <c r="D27" s="9"/>
      <c r="E27" s="9"/>
      <c r="F27" s="9"/>
      <c r="G27" s="13" t="n">
        <f aca="false">IF(E27&gt;0,G26+1,0)</f>
        <v>0</v>
      </c>
    </row>
    <row r="28" customFormat="false" ht="15" hidden="false" customHeight="false" outlineLevel="0" collapsed="false">
      <c r="A28" s="15" t="n">
        <v>24</v>
      </c>
      <c r="B28" s="8"/>
      <c r="C28" s="8"/>
      <c r="D28" s="8"/>
      <c r="E28" s="8"/>
      <c r="F28" s="8"/>
      <c r="G28" s="16" t="n">
        <f aca="false">IF(E28&gt;0,G27+1,0)</f>
        <v>0</v>
      </c>
    </row>
    <row r="29" customFormat="false" ht="15" hidden="false" customHeight="false" outlineLevel="0" collapsed="false">
      <c r="A29" s="12" t="n">
        <v>25</v>
      </c>
      <c r="B29" s="9"/>
      <c r="C29" s="9"/>
      <c r="D29" s="9"/>
      <c r="E29" s="9"/>
      <c r="F29" s="9"/>
      <c r="G29" s="13" t="n">
        <f aca="false">IF(E29&gt;0,G28+1,0)</f>
        <v>0</v>
      </c>
    </row>
    <row r="30" customFormat="false" ht="15" hidden="false" customHeight="false" outlineLevel="0" collapsed="false">
      <c r="A30" s="15" t="n">
        <v>26</v>
      </c>
      <c r="B30" s="8"/>
      <c r="C30" s="8"/>
      <c r="D30" s="8"/>
      <c r="E30" s="8"/>
      <c r="F30" s="8"/>
      <c r="G30" s="16" t="n">
        <f aca="false">IF(E30&gt;0,G29+1,0)</f>
        <v>0</v>
      </c>
    </row>
    <row r="31" customFormat="false" ht="15" hidden="false" customHeight="false" outlineLevel="0" collapsed="false">
      <c r="A31" s="12" t="n">
        <v>27</v>
      </c>
      <c r="B31" s="9"/>
      <c r="C31" s="9"/>
      <c r="D31" s="9"/>
      <c r="E31" s="9"/>
      <c r="F31" s="9"/>
      <c r="G31" s="13" t="n">
        <f aca="false">IF(E31&gt;0,G30+1,0)</f>
        <v>0</v>
      </c>
    </row>
    <row r="32" customFormat="false" ht="15" hidden="false" customHeight="false" outlineLevel="0" collapsed="false">
      <c r="A32" s="15" t="n">
        <v>28</v>
      </c>
      <c r="B32" s="8"/>
      <c r="C32" s="8"/>
      <c r="D32" s="8"/>
      <c r="E32" s="8"/>
      <c r="F32" s="8"/>
      <c r="G32" s="16" t="n">
        <f aca="false">IF(E32&gt;0,G31+1,0)</f>
        <v>0</v>
      </c>
    </row>
    <row r="33" customFormat="false" ht="15" hidden="false" customHeight="false" outlineLevel="0" collapsed="false">
      <c r="A33" s="12" t="n">
        <v>29</v>
      </c>
      <c r="B33" s="9"/>
      <c r="C33" s="9"/>
      <c r="D33" s="9"/>
      <c r="E33" s="9"/>
      <c r="F33" s="9"/>
      <c r="G33" s="13" t="n">
        <f aca="false">IF(E33&gt;0,G32+1,0)</f>
        <v>0</v>
      </c>
    </row>
    <row r="34" customFormat="false" ht="15" hidden="false" customHeight="false" outlineLevel="0" collapsed="false">
      <c r="A34" s="15" t="n">
        <v>30</v>
      </c>
      <c r="B34" s="8"/>
      <c r="C34" s="8"/>
      <c r="D34" s="8"/>
      <c r="E34" s="8"/>
      <c r="F34" s="8"/>
      <c r="G34" s="16" t="n">
        <f aca="false">IF(E34&gt;0,G33+1,0)</f>
        <v>0</v>
      </c>
    </row>
    <row r="35" customFormat="false" ht="15" hidden="false" customHeight="false" outlineLevel="0" collapsed="false">
      <c r="A35" s="12" t="n">
        <v>31</v>
      </c>
      <c r="B35" s="9"/>
      <c r="C35" s="9"/>
      <c r="D35" s="9"/>
      <c r="E35" s="9"/>
      <c r="F35" s="9"/>
      <c r="G35" s="13" t="n">
        <f aca="false">IF(E35&gt;0,G34+1,0)</f>
        <v>0</v>
      </c>
    </row>
    <row r="36" customFormat="false" ht="15" hidden="false" customHeight="false" outlineLevel="0" collapsed="false">
      <c r="A36" s="15" t="n">
        <v>32</v>
      </c>
      <c r="B36" s="8"/>
      <c r="C36" s="8"/>
      <c r="D36" s="8"/>
      <c r="E36" s="8"/>
      <c r="F36" s="8"/>
      <c r="G36" s="16" t="n">
        <f aca="false">IF(E36&gt;0,G35+1,0)</f>
        <v>0</v>
      </c>
    </row>
    <row r="37" customFormat="false" ht="15" hidden="false" customHeight="false" outlineLevel="0" collapsed="false">
      <c r="A37" s="12" t="n">
        <v>33</v>
      </c>
      <c r="B37" s="9"/>
      <c r="C37" s="9"/>
      <c r="D37" s="9"/>
      <c r="E37" s="9"/>
      <c r="F37" s="9"/>
      <c r="G37" s="13" t="n">
        <f aca="false">IF(E37&gt;0,G36+1,0)</f>
        <v>0</v>
      </c>
    </row>
    <row r="38" customFormat="false" ht="15" hidden="false" customHeight="false" outlineLevel="0" collapsed="false">
      <c r="A38" s="15" t="n">
        <v>34</v>
      </c>
      <c r="B38" s="8"/>
      <c r="C38" s="8"/>
      <c r="D38" s="8"/>
      <c r="E38" s="8"/>
      <c r="F38" s="8"/>
      <c r="G38" s="16" t="n">
        <f aca="false">IF(E38&gt;0,G37+1,0)</f>
        <v>0</v>
      </c>
    </row>
    <row r="39" customFormat="false" ht="15" hidden="false" customHeight="false" outlineLevel="0" collapsed="false">
      <c r="A39" s="12" t="n">
        <v>35</v>
      </c>
      <c r="B39" s="9"/>
      <c r="C39" s="9"/>
      <c r="D39" s="9"/>
      <c r="E39" s="9"/>
      <c r="F39" s="9"/>
      <c r="G39" s="13" t="n">
        <f aca="false">IF(E39&gt;0,G38+1,0)</f>
        <v>0</v>
      </c>
    </row>
    <row r="40" customFormat="false" ht="15" hidden="false" customHeight="false" outlineLevel="0" collapsed="false">
      <c r="A40" s="15" t="n">
        <v>36</v>
      </c>
      <c r="B40" s="8"/>
      <c r="C40" s="8"/>
      <c r="D40" s="8"/>
      <c r="E40" s="8"/>
      <c r="F40" s="8"/>
      <c r="G40" s="16" t="n">
        <f aca="false">IF(E40&gt;0,G39+1,0)</f>
        <v>0</v>
      </c>
    </row>
    <row r="41" customFormat="false" ht="15" hidden="false" customHeight="false" outlineLevel="0" collapsed="false">
      <c r="A41" s="12" t="n">
        <v>37</v>
      </c>
      <c r="B41" s="9"/>
      <c r="C41" s="9"/>
      <c r="D41" s="9"/>
      <c r="E41" s="9"/>
      <c r="F41" s="9"/>
      <c r="G41" s="13" t="n">
        <f aca="false">IF(E41&gt;0,G40+1,0)</f>
        <v>0</v>
      </c>
    </row>
    <row r="42" customFormat="false" ht="15" hidden="false" customHeight="false" outlineLevel="0" collapsed="false">
      <c r="A42" s="15" t="n">
        <v>38</v>
      </c>
      <c r="B42" s="8"/>
      <c r="C42" s="8"/>
      <c r="D42" s="8"/>
      <c r="E42" s="8"/>
      <c r="F42" s="8"/>
      <c r="G42" s="16" t="n">
        <f aca="false">IF(E42&gt;0,G41+1,0)</f>
        <v>0</v>
      </c>
    </row>
    <row r="43" customFormat="false" ht="15" hidden="false" customHeight="false" outlineLevel="0" collapsed="false">
      <c r="A43" s="12" t="n">
        <v>39</v>
      </c>
      <c r="B43" s="9"/>
      <c r="C43" s="9"/>
      <c r="D43" s="9"/>
      <c r="E43" s="9"/>
      <c r="F43" s="9"/>
      <c r="G43" s="13" t="n">
        <f aca="false">IF(E43&gt;0,G42+1,0)</f>
        <v>0</v>
      </c>
    </row>
    <row r="44" customFormat="false" ht="15" hidden="false" customHeight="false" outlineLevel="0" collapsed="false">
      <c r="A44" s="15" t="n">
        <v>40</v>
      </c>
      <c r="B44" s="8"/>
      <c r="C44" s="8"/>
      <c r="D44" s="8"/>
      <c r="E44" s="8"/>
      <c r="F44" s="8"/>
      <c r="G44" s="16" t="n">
        <f aca="false">IF(E44&gt;0,G43+1,0)</f>
        <v>0</v>
      </c>
    </row>
    <row r="45" customFormat="false" ht="15" hidden="false" customHeight="false" outlineLevel="0" collapsed="false">
      <c r="A45" s="12" t="n">
        <v>41</v>
      </c>
      <c r="B45" s="9"/>
      <c r="C45" s="9"/>
      <c r="D45" s="9"/>
      <c r="E45" s="9"/>
      <c r="F45" s="9"/>
      <c r="G45" s="13" t="n">
        <f aca="false">IF(E45&gt;0,G44+1,0)</f>
        <v>0</v>
      </c>
    </row>
    <row r="46" customFormat="false" ht="15" hidden="false" customHeight="false" outlineLevel="0" collapsed="false">
      <c r="A46" s="15" t="n">
        <v>42</v>
      </c>
      <c r="B46" s="8"/>
      <c r="C46" s="8"/>
      <c r="D46" s="8"/>
      <c r="E46" s="8"/>
      <c r="F46" s="8"/>
      <c r="G46" s="16" t="n">
        <f aca="false">IF(E46&gt;0,G45+1,0)</f>
        <v>0</v>
      </c>
    </row>
    <row r="47" customFormat="false" ht="15" hidden="false" customHeight="false" outlineLevel="0" collapsed="false">
      <c r="A47" s="12" t="n">
        <v>43</v>
      </c>
      <c r="B47" s="9"/>
      <c r="C47" s="9"/>
      <c r="D47" s="9"/>
      <c r="E47" s="9"/>
      <c r="F47" s="9"/>
      <c r="G47" s="13" t="n">
        <f aca="false">IF(E47&gt;0,G46+1,0)</f>
        <v>0</v>
      </c>
    </row>
    <row r="48" customFormat="false" ht="15" hidden="false" customHeight="false" outlineLevel="0" collapsed="false">
      <c r="A48" s="15" t="n">
        <v>44</v>
      </c>
      <c r="B48" s="8"/>
      <c r="C48" s="8"/>
      <c r="D48" s="8"/>
      <c r="E48" s="8"/>
      <c r="F48" s="8"/>
      <c r="G48" s="16" t="n">
        <f aca="false">IF(E48&gt;0,G47+1,0)</f>
        <v>0</v>
      </c>
    </row>
    <row r="49" customFormat="false" ht="15" hidden="false" customHeight="false" outlineLevel="0" collapsed="false">
      <c r="A49" s="12" t="n">
        <v>45</v>
      </c>
      <c r="B49" s="9"/>
      <c r="C49" s="9"/>
      <c r="D49" s="9"/>
      <c r="E49" s="9"/>
      <c r="F49" s="9"/>
      <c r="G49" s="13" t="n">
        <f aca="false">IF(E49&gt;0,G48+1,0)</f>
        <v>0</v>
      </c>
    </row>
    <row r="50" customFormat="false" ht="15" hidden="false" customHeight="false" outlineLevel="0" collapsed="false">
      <c r="A50" s="15" t="n">
        <v>46</v>
      </c>
      <c r="B50" s="8"/>
      <c r="C50" s="8"/>
      <c r="D50" s="8"/>
      <c r="E50" s="8"/>
      <c r="F50" s="8"/>
      <c r="G50" s="16" t="n">
        <f aca="false">IF(E50&gt;0,G49+1,0)</f>
        <v>0</v>
      </c>
    </row>
    <row r="51" customFormat="false" ht="15" hidden="false" customHeight="false" outlineLevel="0" collapsed="false">
      <c r="A51" s="12" t="n">
        <v>47</v>
      </c>
      <c r="B51" s="9"/>
      <c r="C51" s="9"/>
      <c r="D51" s="9"/>
      <c r="E51" s="9"/>
      <c r="F51" s="9"/>
      <c r="G51" s="13" t="n">
        <f aca="false">IF(E51&gt;0,G50+1,0)</f>
        <v>0</v>
      </c>
    </row>
    <row r="52" customFormat="false" ht="15" hidden="false" customHeight="false" outlineLevel="0" collapsed="false">
      <c r="A52" s="15" t="n">
        <v>48</v>
      </c>
      <c r="B52" s="8"/>
      <c r="C52" s="8"/>
      <c r="D52" s="8"/>
      <c r="E52" s="8"/>
      <c r="F52" s="8"/>
      <c r="G52" s="16" t="n">
        <f aca="false">IF(E52&gt;0,G51+1,0)</f>
        <v>0</v>
      </c>
    </row>
    <row r="53" customFormat="false" ht="15" hidden="false" customHeight="false" outlineLevel="0" collapsed="false">
      <c r="A53" s="12" t="n">
        <v>49</v>
      </c>
      <c r="B53" s="9"/>
      <c r="C53" s="9"/>
      <c r="D53" s="9"/>
      <c r="E53" s="9"/>
      <c r="F53" s="9"/>
      <c r="G53" s="13" t="n">
        <f aca="false">IF(E53&gt;0,G52+1,0)</f>
        <v>0</v>
      </c>
    </row>
    <row r="54" customFormat="false" ht="15" hidden="false" customHeight="false" outlineLevel="0" collapsed="false">
      <c r="A54" s="15" t="n">
        <v>50</v>
      </c>
      <c r="B54" s="8"/>
      <c r="C54" s="8"/>
      <c r="D54" s="8"/>
      <c r="E54" s="8"/>
      <c r="F54" s="8"/>
      <c r="G54" s="16" t="n">
        <f aca="false">IF(E54&gt;0,G53+1,0)</f>
        <v>0</v>
      </c>
    </row>
    <row r="55" customFormat="false" ht="15" hidden="false" customHeight="false" outlineLevel="0" collapsed="false">
      <c r="A55" s="12" t="n">
        <v>51</v>
      </c>
      <c r="B55" s="9"/>
      <c r="C55" s="9"/>
      <c r="D55" s="9"/>
      <c r="E55" s="9"/>
      <c r="F55" s="9"/>
      <c r="G55" s="13" t="n">
        <f aca="false">IF(E55&gt;0,G54+1,0)</f>
        <v>0</v>
      </c>
    </row>
    <row r="56" customFormat="false" ht="15" hidden="false" customHeight="false" outlineLevel="0" collapsed="false">
      <c r="A56" s="15" t="n">
        <v>52</v>
      </c>
      <c r="B56" s="8"/>
      <c r="C56" s="8"/>
      <c r="D56" s="8"/>
      <c r="E56" s="8"/>
      <c r="F56" s="8"/>
      <c r="G56" s="16" t="n">
        <f aca="false">IF(E56&gt;0,G55+1,0)</f>
        <v>0</v>
      </c>
    </row>
    <row r="57" customFormat="false" ht="15" hidden="false" customHeight="false" outlineLevel="0" collapsed="false">
      <c r="A57" s="12" t="n">
        <v>53</v>
      </c>
      <c r="B57" s="9"/>
      <c r="C57" s="9"/>
      <c r="D57" s="9"/>
      <c r="E57" s="9"/>
      <c r="F57" s="9"/>
      <c r="G57" s="13" t="n">
        <f aca="false">IF(E57&gt;0,G56+1,0)</f>
        <v>0</v>
      </c>
    </row>
    <row r="58" customFormat="false" ht="15" hidden="false" customHeight="false" outlineLevel="0" collapsed="false">
      <c r="A58" s="15" t="n">
        <v>54</v>
      </c>
      <c r="B58" s="8"/>
      <c r="C58" s="8"/>
      <c r="D58" s="8"/>
      <c r="E58" s="8"/>
      <c r="F58" s="8"/>
      <c r="G58" s="16" t="n">
        <f aca="false">IF(E58&gt;0,G57+1,0)</f>
        <v>0</v>
      </c>
    </row>
    <row r="59" customFormat="false" ht="15" hidden="false" customHeight="false" outlineLevel="0" collapsed="false">
      <c r="A59" s="12" t="n">
        <v>55</v>
      </c>
      <c r="B59" s="9"/>
      <c r="C59" s="9"/>
      <c r="D59" s="9"/>
      <c r="E59" s="9"/>
      <c r="F59" s="9"/>
      <c r="G59" s="13" t="n">
        <f aca="false">IF(E59&gt;0,G58+1,0)</f>
        <v>0</v>
      </c>
    </row>
    <row r="60" customFormat="false" ht="15" hidden="false" customHeight="false" outlineLevel="0" collapsed="false">
      <c r="A60" s="15" t="n">
        <v>56</v>
      </c>
      <c r="B60" s="8"/>
      <c r="C60" s="8"/>
      <c r="D60" s="8"/>
      <c r="E60" s="8"/>
      <c r="F60" s="8"/>
      <c r="G60" s="16" t="n">
        <f aca="false">IF(E60&gt;0,G59+1,0)</f>
        <v>0</v>
      </c>
    </row>
    <row r="61" customFormat="false" ht="15" hidden="false" customHeight="false" outlineLevel="0" collapsed="false">
      <c r="A61" s="12" t="n">
        <v>57</v>
      </c>
      <c r="B61" s="9"/>
      <c r="C61" s="9"/>
      <c r="D61" s="9"/>
      <c r="E61" s="9"/>
      <c r="F61" s="9"/>
      <c r="G61" s="13" t="n">
        <f aca="false">IF(E61&gt;0,G60+1,0)</f>
        <v>0</v>
      </c>
    </row>
    <row r="62" customFormat="false" ht="15" hidden="false" customHeight="false" outlineLevel="0" collapsed="false">
      <c r="A62" s="15" t="n">
        <v>58</v>
      </c>
      <c r="B62" s="8"/>
      <c r="C62" s="8"/>
      <c r="D62" s="8"/>
      <c r="E62" s="8"/>
      <c r="F62" s="8"/>
      <c r="G62" s="16" t="n">
        <f aca="false">IF(E62&gt;0,G61+1,0)</f>
        <v>0</v>
      </c>
    </row>
    <row r="63" customFormat="false" ht="15" hidden="false" customHeight="false" outlineLevel="0" collapsed="false">
      <c r="A63" s="12" t="n">
        <v>59</v>
      </c>
      <c r="B63" s="9"/>
      <c r="C63" s="9"/>
      <c r="D63" s="9"/>
      <c r="E63" s="9"/>
      <c r="F63" s="9"/>
      <c r="G63" s="13" t="n">
        <f aca="false">IF(E63&gt;0,G62+1,0)</f>
        <v>0</v>
      </c>
    </row>
    <row r="64" customFormat="false" ht="15" hidden="false" customHeight="false" outlineLevel="0" collapsed="false">
      <c r="A64" s="15" t="n">
        <v>60</v>
      </c>
      <c r="B64" s="8"/>
      <c r="C64" s="8"/>
      <c r="D64" s="8"/>
      <c r="E64" s="8"/>
      <c r="F64" s="8"/>
      <c r="G64" s="16" t="n">
        <f aca="false">IF(E64&gt;0,G63+1,0)</f>
        <v>0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2026-05-13T13:51:16Z</dcterms:created>
  <dc:creator>openpyxl</dc:creator>
  <dc:description/>
  <dc:language>en-US</dc:language>
  <cp:lastModifiedBy/>
  <dcterms:modified xsi:type="dcterms:W3CDTF">2026-05-13T13:51:16Z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